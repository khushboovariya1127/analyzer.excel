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RNW-Work\Excel\2. Analyzer\"/>
    </mc:Choice>
  </mc:AlternateContent>
  <xr:revisionPtr revIDLastSave="0" documentId="13_ncr:1_{D69015F7-F8EE-431A-AD49-C5BCC7CC6BFE}" xr6:coauthVersionLast="47" xr6:coauthVersionMax="47" xr10:uidLastSave="{00000000-0000-0000-0000-000000000000}"/>
  <bookViews>
    <workbookView xWindow="-110" yWindow="-110" windowWidth="21820" windowHeight="14620" tabRatio="500" xr2:uid="{00000000-000D-0000-FFFF-FFFF00000000}"/>
  </bookViews>
  <sheets>
    <sheet name="Dashboard" sheetId="2" r:id="rId1"/>
    <sheet name="Dataset" sheetId="3" r:id="rId2"/>
    <sheet name="Customer_Analysis" sheetId="4" r:id="rId3"/>
    <sheet name="What_If" sheetId="5" r:id="rId4"/>
    <sheet name="Regression" sheetId="6" r:id="rId5"/>
    <sheet name="Descriptive_Stats" sheetId="7" r:id="rId6"/>
    <sheet name="Monthly_Growth" sheetId="8" r:id="rId7"/>
    <sheet name="Pivot_Summary" sheetId="9" r:id="rId8"/>
    <sheet name="Notes_Checks" sheetId="10" r:id="rId9"/>
  </sheets>
  <definedNames>
    <definedName name="_xlnm._FilterDatabase" localSheetId="2" hidden="1">Customer_Analysis!$A$9:$H$39</definedName>
    <definedName name="_xlnm._FilterDatabase" localSheetId="1" hidden="1">Dataset!$A$1:$J$201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1" i="2" l="1"/>
  <c r="D25" i="10"/>
  <c r="C14" i="10"/>
  <c r="C13" i="10"/>
  <c r="F20" i="9"/>
  <c r="E20" i="9"/>
  <c r="D20" i="9"/>
  <c r="D30" i="9" s="1"/>
  <c r="C20" i="9"/>
  <c r="B20" i="9"/>
  <c r="G20" i="9" s="1"/>
  <c r="F19" i="9"/>
  <c r="F29" i="9" s="1"/>
  <c r="E19" i="9"/>
  <c r="D19" i="9"/>
  <c r="C19" i="9"/>
  <c r="B19" i="9"/>
  <c r="B29" i="9" s="1"/>
  <c r="F18" i="9"/>
  <c r="E18" i="9"/>
  <c r="D18" i="9"/>
  <c r="D28" i="9" s="1"/>
  <c r="C18" i="9"/>
  <c r="B18" i="9"/>
  <c r="G18" i="9" s="1"/>
  <c r="F17" i="9"/>
  <c r="F27" i="9" s="1"/>
  <c r="E17" i="9"/>
  <c r="D17" i="9"/>
  <c r="C17" i="9"/>
  <c r="C21" i="9" s="1"/>
  <c r="B17" i="9"/>
  <c r="B27" i="9" s="1"/>
  <c r="F16" i="9"/>
  <c r="E16" i="9"/>
  <c r="E21" i="9" s="1"/>
  <c r="D16" i="9"/>
  <c r="D26" i="9" s="1"/>
  <c r="C16" i="9"/>
  <c r="B16" i="9"/>
  <c r="G16" i="9" s="1"/>
  <c r="F10" i="9"/>
  <c r="F30" i="9" s="1"/>
  <c r="E10" i="9"/>
  <c r="E30" i="9" s="1"/>
  <c r="D10" i="9"/>
  <c r="C10" i="9"/>
  <c r="C30" i="9" s="1"/>
  <c r="B10" i="9"/>
  <c r="B30" i="9" s="1"/>
  <c r="F9" i="9"/>
  <c r="E9" i="9"/>
  <c r="E29" i="9" s="1"/>
  <c r="D9" i="9"/>
  <c r="D29" i="9" s="1"/>
  <c r="C9" i="9"/>
  <c r="C29" i="9" s="1"/>
  <c r="B9" i="9"/>
  <c r="G9" i="9" s="1"/>
  <c r="F8" i="9"/>
  <c r="F28" i="9" s="1"/>
  <c r="E8" i="9"/>
  <c r="E28" i="9" s="1"/>
  <c r="D8" i="9"/>
  <c r="C8" i="9"/>
  <c r="C28" i="9" s="1"/>
  <c r="B8" i="9"/>
  <c r="B28" i="9" s="1"/>
  <c r="F7" i="9"/>
  <c r="E7" i="9"/>
  <c r="E27" i="9" s="1"/>
  <c r="D7" i="9"/>
  <c r="D27" i="9" s="1"/>
  <c r="C7" i="9"/>
  <c r="C27" i="9" s="1"/>
  <c r="B7" i="9"/>
  <c r="G7" i="9" s="1"/>
  <c r="F6" i="9"/>
  <c r="F26" i="9" s="1"/>
  <c r="E6" i="9"/>
  <c r="E11" i="9" s="1"/>
  <c r="D6" i="9"/>
  <c r="D11" i="9" s="1"/>
  <c r="C6" i="9"/>
  <c r="C26" i="9" s="1"/>
  <c r="B6" i="9"/>
  <c r="B26" i="9" s="1"/>
  <c r="A21" i="8"/>
  <c r="A7" i="8"/>
  <c r="A8" i="8" s="1"/>
  <c r="D6" i="8"/>
  <c r="C6" i="8"/>
  <c r="B6" i="8"/>
  <c r="A6" i="8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C31" i="7" s="1"/>
  <c r="B24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A34" i="7" s="1"/>
  <c r="D6" i="7"/>
  <c r="C6" i="7"/>
  <c r="B6" i="7"/>
  <c r="A33" i="7" s="1"/>
  <c r="B20" i="6"/>
  <c r="B19" i="6"/>
  <c r="C15" i="6"/>
  <c r="B15" i="6"/>
  <c r="B9" i="6"/>
  <c r="B8" i="6"/>
  <c r="C19" i="6" s="1"/>
  <c r="D19" i="6" s="1"/>
  <c r="B6" i="6"/>
  <c r="C14" i="6" s="1"/>
  <c r="B5" i="6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B15" i="5"/>
  <c r="B14" i="5"/>
  <c r="B13" i="5"/>
  <c r="B12" i="5"/>
  <c r="D28" i="5" s="1"/>
  <c r="E28" i="5" s="1"/>
  <c r="C11" i="5"/>
  <c r="B11" i="5"/>
  <c r="B7" i="5"/>
  <c r="C13" i="5" s="1"/>
  <c r="D13" i="5" s="1"/>
  <c r="D39" i="4"/>
  <c r="C39" i="4"/>
  <c r="G39" i="4" s="1"/>
  <c r="B39" i="4"/>
  <c r="F38" i="4"/>
  <c r="E38" i="4"/>
  <c r="D38" i="4"/>
  <c r="C38" i="4"/>
  <c r="B38" i="4"/>
  <c r="E37" i="4"/>
  <c r="D37" i="4"/>
  <c r="F37" i="4" s="1"/>
  <c r="C37" i="4"/>
  <c r="B37" i="4"/>
  <c r="E36" i="4"/>
  <c r="D36" i="4"/>
  <c r="C36" i="4"/>
  <c r="F36" i="4" s="1"/>
  <c r="B36" i="4"/>
  <c r="D35" i="4"/>
  <c r="C35" i="4"/>
  <c r="G35" i="4" s="1"/>
  <c r="B35" i="4"/>
  <c r="F34" i="4"/>
  <c r="E34" i="4"/>
  <c r="D34" i="4"/>
  <c r="C34" i="4"/>
  <c r="B34" i="4"/>
  <c r="D33" i="4"/>
  <c r="F33" i="4" s="1"/>
  <c r="C33" i="4"/>
  <c r="B33" i="4"/>
  <c r="E33" i="4" s="1"/>
  <c r="E32" i="4"/>
  <c r="D32" i="4"/>
  <c r="C32" i="4"/>
  <c r="B32" i="4"/>
  <c r="D31" i="4"/>
  <c r="C31" i="4"/>
  <c r="G31" i="4" s="1"/>
  <c r="B31" i="4"/>
  <c r="F30" i="4"/>
  <c r="E30" i="4"/>
  <c r="D30" i="4"/>
  <c r="C30" i="4"/>
  <c r="B30" i="4"/>
  <c r="D29" i="4"/>
  <c r="F29" i="4" s="1"/>
  <c r="C29" i="4"/>
  <c r="B29" i="4"/>
  <c r="E29" i="4" s="1"/>
  <c r="F28" i="4"/>
  <c r="D28" i="4"/>
  <c r="C28" i="4"/>
  <c r="B28" i="4"/>
  <c r="E28" i="4" s="1"/>
  <c r="E27" i="4"/>
  <c r="D27" i="4"/>
  <c r="F27" i="4" s="1"/>
  <c r="C27" i="4"/>
  <c r="B27" i="4"/>
  <c r="L26" i="4"/>
  <c r="E26" i="4"/>
  <c r="D26" i="4"/>
  <c r="F26" i="4" s="1"/>
  <c r="C26" i="4"/>
  <c r="G26" i="4" s="1"/>
  <c r="B26" i="4"/>
  <c r="L25" i="4"/>
  <c r="E25" i="4"/>
  <c r="D25" i="4"/>
  <c r="F25" i="4" s="1"/>
  <c r="C25" i="4"/>
  <c r="G25" i="4" s="1"/>
  <c r="B25" i="4"/>
  <c r="E24" i="4"/>
  <c r="D24" i="4"/>
  <c r="F24" i="4" s="1"/>
  <c r="C24" i="4"/>
  <c r="G24" i="4" s="1"/>
  <c r="B24" i="4"/>
  <c r="D23" i="4"/>
  <c r="C23" i="4"/>
  <c r="F23" i="4" s="1"/>
  <c r="B23" i="4"/>
  <c r="F22" i="4"/>
  <c r="D22" i="4"/>
  <c r="C22" i="4"/>
  <c r="G22" i="4" s="1"/>
  <c r="B22" i="4"/>
  <c r="E22" i="4" s="1"/>
  <c r="F21" i="4"/>
  <c r="E21" i="4"/>
  <c r="D21" i="4"/>
  <c r="C21" i="4"/>
  <c r="H21" i="4" s="1"/>
  <c r="L28" i="4" s="1"/>
  <c r="B21" i="4"/>
  <c r="L24" i="4" s="1"/>
  <c r="E20" i="4"/>
  <c r="D20" i="4"/>
  <c r="F20" i="4" s="1"/>
  <c r="C20" i="4"/>
  <c r="G20" i="4" s="1"/>
  <c r="B20" i="4"/>
  <c r="E19" i="4"/>
  <c r="D19" i="4"/>
  <c r="F19" i="4" s="1"/>
  <c r="C19" i="4"/>
  <c r="G19" i="4" s="1"/>
  <c r="B19" i="4"/>
  <c r="E18" i="4"/>
  <c r="D18" i="4"/>
  <c r="F18" i="4" s="1"/>
  <c r="C18" i="4"/>
  <c r="G18" i="4" s="1"/>
  <c r="B18" i="4"/>
  <c r="E17" i="4"/>
  <c r="D17" i="4"/>
  <c r="F17" i="4" s="1"/>
  <c r="C17" i="4"/>
  <c r="G17" i="4" s="1"/>
  <c r="B17" i="4"/>
  <c r="E16" i="4"/>
  <c r="D16" i="4"/>
  <c r="F16" i="4" s="1"/>
  <c r="C16" i="4"/>
  <c r="G16" i="4" s="1"/>
  <c r="B16" i="4"/>
  <c r="E15" i="4"/>
  <c r="D15" i="4"/>
  <c r="C15" i="4"/>
  <c r="G15" i="4" s="1"/>
  <c r="B15" i="4"/>
  <c r="E14" i="4"/>
  <c r="D14" i="4"/>
  <c r="C14" i="4"/>
  <c r="G14" i="4" s="1"/>
  <c r="B14" i="4"/>
  <c r="E13" i="4"/>
  <c r="D13" i="4"/>
  <c r="C13" i="4"/>
  <c r="G13" i="4" s="1"/>
  <c r="B13" i="4"/>
  <c r="E12" i="4"/>
  <c r="D12" i="4"/>
  <c r="C12" i="4"/>
  <c r="G12" i="4" s="1"/>
  <c r="B12" i="4"/>
  <c r="E11" i="4"/>
  <c r="D11" i="4"/>
  <c r="C11" i="4"/>
  <c r="G11" i="4" s="1"/>
  <c r="B11" i="4"/>
  <c r="E10" i="4"/>
  <c r="D10" i="4"/>
  <c r="D40" i="4" s="1"/>
  <c r="C10" i="4"/>
  <c r="G10" i="4" s="1"/>
  <c r="B10" i="4"/>
  <c r="B6" i="4"/>
  <c r="H33" i="4" s="1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A9" i="2"/>
  <c r="I6" i="2"/>
  <c r="G6" i="2"/>
  <c r="E6" i="2"/>
  <c r="C6" i="2"/>
  <c r="A6" i="2"/>
  <c r="I5" i="2"/>
  <c r="G5" i="2"/>
  <c r="E5" i="2"/>
  <c r="C5" i="2"/>
  <c r="A5" i="2"/>
  <c r="A2" i="2"/>
  <c r="G22" i="5" l="1"/>
  <c r="G24" i="5"/>
  <c r="M19" i="4"/>
  <c r="M17" i="4"/>
  <c r="M16" i="4"/>
  <c r="M13" i="4"/>
  <c r="M12" i="4"/>
  <c r="O19" i="4"/>
  <c r="K19" i="4"/>
  <c r="O17" i="4"/>
  <c r="K16" i="4"/>
  <c r="K13" i="4"/>
  <c r="N16" i="4"/>
  <c r="N12" i="4"/>
  <c r="N10" i="4"/>
  <c r="L19" i="4"/>
  <c r="L17" i="4"/>
  <c r="L16" i="4"/>
  <c r="L13" i="4"/>
  <c r="L12" i="4"/>
  <c r="K12" i="4"/>
  <c r="N19" i="4"/>
  <c r="N17" i="4"/>
  <c r="N13" i="4"/>
  <c r="H11" i="4"/>
  <c r="H13" i="4"/>
  <c r="H15" i="4"/>
  <c r="H17" i="4"/>
  <c r="O13" i="4" s="1"/>
  <c r="H19" i="4"/>
  <c r="H24" i="4"/>
  <c r="H26" i="4"/>
  <c r="H23" i="4"/>
  <c r="G29" i="4"/>
  <c r="O15" i="4" s="1"/>
  <c r="H29" i="4"/>
  <c r="H35" i="4"/>
  <c r="G37" i="4"/>
  <c r="H37" i="4"/>
  <c r="A24" i="6"/>
  <c r="A23" i="6"/>
  <c r="D20" i="6"/>
  <c r="E20" i="6" s="1"/>
  <c r="B29" i="6"/>
  <c r="C10" i="10"/>
  <c r="E30" i="7"/>
  <c r="E29" i="7"/>
  <c r="E28" i="7"/>
  <c r="E27" i="7"/>
  <c r="E26" i="7"/>
  <c r="E25" i="7"/>
  <c r="E24" i="7"/>
  <c r="D26" i="7"/>
  <c r="D28" i="7"/>
  <c r="D30" i="7"/>
  <c r="B40" i="4"/>
  <c r="E40" i="4" s="1"/>
  <c r="F10" i="4"/>
  <c r="F11" i="4"/>
  <c r="F12" i="4"/>
  <c r="F13" i="4"/>
  <c r="F14" i="4"/>
  <c r="F15" i="4"/>
  <c r="G21" i="4"/>
  <c r="L27" i="4" s="1"/>
  <c r="H22" i="4"/>
  <c r="E23" i="4"/>
  <c r="G28" i="4"/>
  <c r="H28" i="4"/>
  <c r="G32" i="4"/>
  <c r="G36" i="4"/>
  <c r="C40" i="4"/>
  <c r="F28" i="5"/>
  <c r="D20" i="5"/>
  <c r="E20" i="5" s="1"/>
  <c r="F20" i="5" s="1"/>
  <c r="D21" i="5"/>
  <c r="E21" i="5" s="1"/>
  <c r="D23" i="5"/>
  <c r="E23" i="5" s="1"/>
  <c r="D25" i="5"/>
  <c r="E25" i="5" s="1"/>
  <c r="F25" i="5" s="1"/>
  <c r="D27" i="5"/>
  <c r="E27" i="5" s="1"/>
  <c r="F27" i="5" s="1"/>
  <c r="G28" i="5"/>
  <c r="A9" i="8"/>
  <c r="D8" i="8"/>
  <c r="C8" i="8"/>
  <c r="B8" i="8"/>
  <c r="H8" i="8" s="1"/>
  <c r="D31" i="9"/>
  <c r="H10" i="4"/>
  <c r="H12" i="4"/>
  <c r="O16" i="4" s="1"/>
  <c r="H14" i="4"/>
  <c r="H16" i="4"/>
  <c r="O12" i="4" s="1"/>
  <c r="H18" i="4"/>
  <c r="H20" i="4"/>
  <c r="G23" i="4"/>
  <c r="M18" i="4" s="1"/>
  <c r="H25" i="4"/>
  <c r="H31" i="4"/>
  <c r="G33" i="4"/>
  <c r="H39" i="4"/>
  <c r="C12" i="5"/>
  <c r="G27" i="4"/>
  <c r="H27" i="4"/>
  <c r="H30" i="4"/>
  <c r="G30" i="4"/>
  <c r="F31" i="4"/>
  <c r="F32" i="4"/>
  <c r="H32" i="4"/>
  <c r="H34" i="4"/>
  <c r="G34" i="4"/>
  <c r="F35" i="4"/>
  <c r="H36" i="4"/>
  <c r="H38" i="4"/>
  <c r="G38" i="4"/>
  <c r="F39" i="4"/>
  <c r="D11" i="5"/>
  <c r="E13" i="5"/>
  <c r="D22" i="5"/>
  <c r="E22" i="5" s="1"/>
  <c r="F22" i="5" s="1"/>
  <c r="D24" i="5"/>
  <c r="D26" i="5"/>
  <c r="E26" i="5" s="1"/>
  <c r="F26" i="5" s="1"/>
  <c r="C12" i="10"/>
  <c r="B14" i="6"/>
  <c r="G19" i="6" s="1"/>
  <c r="D25" i="7"/>
  <c r="D27" i="7"/>
  <c r="D29" i="7"/>
  <c r="E31" i="9"/>
  <c r="E31" i="4"/>
  <c r="E35" i="4"/>
  <c r="E39" i="4"/>
  <c r="F21" i="5"/>
  <c r="F23" i="5"/>
  <c r="D24" i="7"/>
  <c r="B7" i="8"/>
  <c r="B11" i="9"/>
  <c r="F11" i="9"/>
  <c r="G17" i="9"/>
  <c r="G27" i="9" s="1"/>
  <c r="G19" i="9"/>
  <c r="G29" i="9" s="1"/>
  <c r="E26" i="9"/>
  <c r="G21" i="5"/>
  <c r="G23" i="5"/>
  <c r="G25" i="5"/>
  <c r="G27" i="5"/>
  <c r="C13" i="6"/>
  <c r="D13" i="6" s="1"/>
  <c r="C20" i="6"/>
  <c r="C7" i="8"/>
  <c r="F7" i="8" s="1"/>
  <c r="G6" i="9"/>
  <c r="G8" i="9"/>
  <c r="G10" i="9"/>
  <c r="C11" i="9"/>
  <c r="D21" i="9"/>
  <c r="B7" i="6"/>
  <c r="H6" i="8"/>
  <c r="D7" i="8"/>
  <c r="G8" i="8" s="1"/>
  <c r="B21" i="9"/>
  <c r="F21" i="9"/>
  <c r="C14" i="5" l="1"/>
  <c r="D14" i="5" s="1"/>
  <c r="E14" i="5" s="1"/>
  <c r="A15" i="2" s="1"/>
  <c r="C15" i="5"/>
  <c r="D15" i="5" s="1"/>
  <c r="D12" i="5"/>
  <c r="E12" i="5" s="1"/>
  <c r="N18" i="4"/>
  <c r="I10" i="9"/>
  <c r="G30" i="9"/>
  <c r="A10" i="8"/>
  <c r="D9" i="8"/>
  <c r="C9" i="8"/>
  <c r="B9" i="8"/>
  <c r="H9" i="8" s="1"/>
  <c r="I7" i="9"/>
  <c r="N11" i="4"/>
  <c r="O14" i="4"/>
  <c r="O10" i="4"/>
  <c r="K18" i="4"/>
  <c r="M10" i="4"/>
  <c r="M14" i="4"/>
  <c r="I8" i="9"/>
  <c r="G28" i="9"/>
  <c r="H7" i="8"/>
  <c r="F19" i="6"/>
  <c r="C11" i="10"/>
  <c r="E24" i="5"/>
  <c r="F24" i="5" s="1"/>
  <c r="F20" i="6"/>
  <c r="G21" i="9"/>
  <c r="C7" i="10" s="1"/>
  <c r="G20" i="6"/>
  <c r="K10" i="4"/>
  <c r="L10" i="4"/>
  <c r="L14" i="4"/>
  <c r="L18" i="4"/>
  <c r="N14" i="4"/>
  <c r="O11" i="4"/>
  <c r="K14" i="4"/>
  <c r="O18" i="4"/>
  <c r="M11" i="4"/>
  <c r="M15" i="4"/>
  <c r="G20" i="5"/>
  <c r="C31" i="9"/>
  <c r="G7" i="8"/>
  <c r="B31" i="9"/>
  <c r="G9" i="8"/>
  <c r="E7" i="8"/>
  <c r="F8" i="8"/>
  <c r="I6" i="9"/>
  <c r="G26" i="9"/>
  <c r="G11" i="9"/>
  <c r="K5" i="2"/>
  <c r="F31" i="9"/>
  <c r="F12" i="9"/>
  <c r="D31" i="7"/>
  <c r="I9" i="9"/>
  <c r="B7" i="4"/>
  <c r="E8" i="8"/>
  <c r="F9" i="8"/>
  <c r="F40" i="4"/>
  <c r="C9" i="10"/>
  <c r="D14" i="6"/>
  <c r="E13" i="6" s="1"/>
  <c r="F13" i="6" s="1"/>
  <c r="N15" i="4"/>
  <c r="K11" i="4"/>
  <c r="L11" i="4"/>
  <c r="L15" i="4"/>
  <c r="K15" i="4"/>
  <c r="K17" i="4"/>
  <c r="G26" i="5"/>
  <c r="E19" i="6"/>
  <c r="A25" i="6" l="1"/>
  <c r="A14" i="2"/>
  <c r="A12" i="2"/>
  <c r="C6" i="10"/>
  <c r="G31" i="9"/>
  <c r="H7" i="9"/>
  <c r="E12" i="9"/>
  <c r="H9" i="9"/>
  <c r="D12" i="9"/>
  <c r="E9" i="8"/>
  <c r="A11" i="8"/>
  <c r="D10" i="8"/>
  <c r="C10" i="8"/>
  <c r="B10" i="8"/>
  <c r="C12" i="9"/>
  <c r="H10" i="9"/>
  <c r="H6" i="9"/>
  <c r="B12" i="9"/>
  <c r="H8" i="9"/>
  <c r="H11" i="9" l="1"/>
  <c r="K6" i="2"/>
  <c r="A10" i="2"/>
  <c r="A12" i="8"/>
  <c r="D11" i="8"/>
  <c r="C11" i="8"/>
  <c r="B11" i="8"/>
  <c r="E10" i="8"/>
  <c r="F11" i="8"/>
  <c r="F10" i="8"/>
  <c r="G10" i="8"/>
  <c r="G12" i="9"/>
  <c r="H10" i="8"/>
  <c r="A13" i="8" l="1"/>
  <c r="D12" i="8"/>
  <c r="C12" i="8"/>
  <c r="B12" i="8"/>
  <c r="H11" i="8"/>
  <c r="E11" i="8"/>
  <c r="G11" i="8"/>
  <c r="A14" i="8" l="1"/>
  <c r="D13" i="8"/>
  <c r="C13" i="8"/>
  <c r="B13" i="8"/>
  <c r="E12" i="8"/>
  <c r="G12" i="8"/>
  <c r="F12" i="8"/>
  <c r="H12" i="8"/>
  <c r="E13" i="8" l="1"/>
  <c r="F13" i="8"/>
  <c r="A15" i="8"/>
  <c r="D14" i="8"/>
  <c r="C14" i="8"/>
  <c r="B14" i="8"/>
  <c r="H14" i="8" s="1"/>
  <c r="G14" i="8"/>
  <c r="H13" i="8"/>
  <c r="G13" i="8"/>
  <c r="A16" i="8" l="1"/>
  <c r="D15" i="8"/>
  <c r="C15" i="8"/>
  <c r="B15" i="8"/>
  <c r="H15" i="8" s="1"/>
  <c r="E14" i="8"/>
  <c r="F14" i="8"/>
  <c r="G15" i="8"/>
  <c r="E15" i="8" l="1"/>
  <c r="F15" i="8"/>
  <c r="A17" i="8"/>
  <c r="D16" i="8"/>
  <c r="C16" i="8"/>
  <c r="B16" i="8"/>
  <c r="E16" i="8" l="1"/>
  <c r="G17" i="8"/>
  <c r="A18" i="8"/>
  <c r="D17" i="8"/>
  <c r="C17" i="8"/>
  <c r="B17" i="8"/>
  <c r="H17" i="8" s="1"/>
  <c r="F16" i="8"/>
  <c r="H16" i="8"/>
  <c r="G16" i="8"/>
  <c r="D18" i="8" l="1"/>
  <c r="D19" i="8" s="1"/>
  <c r="C18" i="8"/>
  <c r="B18" i="8"/>
  <c r="E17" i="8"/>
  <c r="A13" i="2"/>
  <c r="F17" i="8"/>
  <c r="G18" i="8"/>
  <c r="H18" i="8" l="1"/>
  <c r="B19" i="8"/>
  <c r="E18" i="8"/>
  <c r="C19" i="8"/>
  <c r="C8" i="10" s="1"/>
  <c r="C15" i="10" s="1"/>
  <c r="F18" i="8"/>
  <c r="H19" i="8" l="1"/>
</calcChain>
</file>

<file path=xl/sharedStrings.xml><?xml version="1.0" encoding="utf-8"?>
<sst xmlns="http://schemas.openxmlformats.org/spreadsheetml/2006/main" count="1086" uniqueCount="247">
  <si>
    <t>PR.2 Sales Analyzer – Executive Dashboard</t>
  </si>
  <si>
    <t>TOTAL SALES</t>
  </si>
  <si>
    <t>TOTAL PROFIT</t>
  </si>
  <si>
    <t>PROFIT MARGIN</t>
  </si>
  <si>
    <t>TOTAL ORDERS</t>
  </si>
  <si>
    <t>AVG DISCOUNT</t>
  </si>
  <si>
    <t>TOP REGION</t>
  </si>
  <si>
    <t>Key Insights (generated automatically from the data)</t>
  </si>
  <si>
    <t>Visual Analysis</t>
  </si>
  <si>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</si>
  <si>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</si>
  <si>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</si>
  <si>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</si>
  <si>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</si>
  <si>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</si>
  <si>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</si>
  <si>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</si>
  <si>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</si>
  <si>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Timestamp</t>
  </si>
  <si>
    <t>Timestamp column (Task 6): =NOW() – refreshes every time the workbook recalculates.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</si>
  <si>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</si>
  <si>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</si>
  <si>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</si>
  <si>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</si>
  <si>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</si>
  <si>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</si>
  <si>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</si>
  <si>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</si>
  <si>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</si>
  <si>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</si>
  <si>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</si>
  <si>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</si>
  <si>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</si>
  <si>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</si>
  <si>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</si>
  <si>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</si>
  <si>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</si>
  <si>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</si>
  <si>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</si>
  <si>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</si>
  <si>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</si>
  <si>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</si>
  <si>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</si>
  <si>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</si>
  <si>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</si>
  <si>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</si>
  <si>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</si>
  <si>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</si>
  <si>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</si>
  <si>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</si>
  <si>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</si>
  <si>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</si>
  <si>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</si>
  <si>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</si>
  <si>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</si>
  <si>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</si>
  <si>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</si>
  <si>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</si>
  <si>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</si>
  <si>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</si>
  <si>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</si>
  <si>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</si>
  <si>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</si>
  <si>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</si>
  <si>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</si>
  <si>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</si>
  <si>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</si>
  <si>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</si>
  <si>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</si>
  <si>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</si>
  <si>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</si>
  <si>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</si>
  <si>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</si>
  <si>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</si>
  <si>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</si>
  <si>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</si>
  <si>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</si>
  <si>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</si>
  <si>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</si>
  <si>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</si>
  <si>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</si>
  <si>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</si>
  <si>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</si>
  <si>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</si>
  <si>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</si>
  <si>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</si>
  <si>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</si>
  <si>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Customer Analysis</t>
  </si>
  <si>
    <t>Task 1: Top-10 customers via conditional formatting  |  Task 7: High-value customers via GROUP-BY (SUMIF) + INDEX / MATCH + filters</t>
  </si>
  <si>
    <t>High-Value Rule</t>
  </si>
  <si>
    <t>Key</t>
  </si>
  <si>
    <t>High-value percentile cut-off</t>
  </si>
  <si>
    <t>Gold rows = Top 10 customers by Total Sales (Conditional Formatting)</t>
  </si>
  <si>
    <t>High-value threshold (Total Sales ≥)</t>
  </si>
  <si>
    <t>Blue cells with yellow fill = editable inputs</t>
  </si>
  <si>
    <t>High-value customers (count)</t>
  </si>
  <si>
    <t>Customers are grouped by Customer_ID (see Notes_Checks)</t>
  </si>
  <si>
    <t>Top 10 Customers – looked up with INDEX / MATCH</t>
  </si>
  <si>
    <t>Orders</t>
  </si>
  <si>
    <t>Total Sales</t>
  </si>
  <si>
    <t>Total Profit</t>
  </si>
  <si>
    <t>Avg Order Value</t>
  </si>
  <si>
    <t>Profit Margin</t>
  </si>
  <si>
    <t>Sales Rank</t>
  </si>
  <si>
    <t>Segment</t>
  </si>
  <si>
    <t>Rank</t>
  </si>
  <si>
    <t>Customer Lookup (type or pick a Customer_ID)</t>
  </si>
  <si>
    <t>Total</t>
  </si>
  <si>
    <t>What-If Analysis – Discount vs Total Profit</t>
  </si>
  <si>
    <t>Task 2: change the yellow inputs and watch profit react; the sensitivity table shows the whole range at once</t>
  </si>
  <si>
    <t>Scenario Inputs (editable)</t>
  </si>
  <si>
    <t>Change in discount (percentage points, e.g. 0.05 = +5 pp)</t>
  </si>
  <si>
    <t>Volume uplift per +1 pp of discount (assumption)</t>
  </si>
  <si>
    <t>Volume factor applied to quantity sold</t>
  </si>
  <si>
    <t>Baseline vs Scenario</t>
  </si>
  <si>
    <t>Metric</t>
  </si>
  <si>
    <t>Baseline</t>
  </si>
  <si>
    <t>Scenario</t>
  </si>
  <si>
    <t>Change</t>
  </si>
  <si>
    <t>% Change</t>
  </si>
  <si>
    <t>Average discount</t>
  </si>
  <si>
    <t>Net sales</t>
  </si>
  <si>
    <t>Total cost (Sales − Profit)</t>
  </si>
  <si>
    <t>Total profit</t>
  </si>
  <si>
    <t>Profit margin</t>
  </si>
  <si>
    <t>Sensitivity Table – total profit for a range of discount changes</t>
  </si>
  <si>
    <t>Discount change (pp)</t>
  </si>
  <si>
    <t>Profit change vs baseline</t>
  </si>
  <si>
    <t>% change</t>
  </si>
  <si>
    <t>Linear Regression – Profit vs Sales</t>
  </si>
  <si>
    <t>Task 3: output laid out like Data Analysis ToolPak ▸ Regression (Y = Profit, X = Sales), calculated with live formulas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</si>
  <si>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</si>
  <si>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</si>
  <si>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</si>
  <si>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</si>
  <si>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</si>
  <si>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</si>
  <si>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</si>
  <si>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</si>
  <si>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</si>
  <si>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</si>
  <si>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</si>
  <si>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</si>
  <si>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</si>
  <si>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</si>
  <si>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</si>
  <si>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</si>
  <si>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</si>
  <si>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</si>
  <si>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</si>
  <si>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Intercept</t>
  </si>
  <si>
    <t>Sales (X variable)</t>
  </si>
  <si>
    <t>Interpretation (updates automatically)</t>
  </si>
  <si>
    <t>Predict Profit for a given Sales value</t>
  </si>
  <si>
    <t>Sales (enter value)</t>
  </si>
  <si>
    <t>Predicted Profit</t>
  </si>
  <si>
    <t>Descriptive Statistics &amp; Histogram</t>
  </si>
  <si>
    <t>Task 4: replicates Data Analysis ToolPak ▸ Descriptive Statistics and Histogram using live formulas</t>
  </si>
  <si>
    <t>Statistic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</si>
  <si>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</si>
  <si>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</si>
  <si>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</si>
  <si>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</si>
  <si>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</si>
  <si>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</si>
  <si>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</si>
  <si>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</si>
  <si>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</si>
  <si>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</si>
  <si>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</si>
  <si>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</si>
  <si>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 (95.0%)</t>
  </si>
  <si>
    <t>Histogram – Sales distribution (bins are editable)</t>
  </si>
  <si>
    <t>Bin Upper Limit</t>
  </si>
  <si>
    <t>Bin Range</t>
  </si>
  <si>
    <t>Frequency</t>
  </si>
  <si>
    <t>% of Orders</t>
  </si>
  <si>
    <t>Cumulative %</t>
  </si>
  <si>
    <t>Monthly Sales Growth</t>
  </si>
  <si>
    <t>Task 5: ▲/▼ arrows via custom number formats  |  Task 6: timestamp (see Dataset column J)</t>
  </si>
  <si>
    <t>Month</t>
  </si>
  <si>
    <t>Sales Change</t>
  </si>
  <si>
    <t>Sales Growth % (MoM)</t>
  </si>
  <si>
    <t>Profit Growth % (MoM)</t>
  </si>
  <si>
    <t>n/a</t>
  </si>
  <si>
    <t>Pivot Summary – Sales by Region and Product</t>
  </si>
  <si>
    <t>Task 8: pivot-style cross-tab built with SUMIFS so it refreshes automatically with the Dataset sheet</t>
  </si>
  <si>
    <t>Total Sales by Region × Product Category</t>
  </si>
  <si>
    <t>Grand Total</t>
  </si>
  <si>
    <t>Share %</t>
  </si>
  <si>
    <t>Total Profit by Region × Product Category</t>
  </si>
  <si>
    <t>Profit Margin by Region × Product Category (Profit ÷ Sales)</t>
  </si>
  <si>
    <t>Overall</t>
  </si>
  <si>
    <t>Formula-based pivot (SUMIFS). To also insert a native PivotTable: Dataset ▸ Insert ▸ PivotTable ▸ Rows = Region, Columns = Product_Category, Values = Sum of Sales.</t>
  </si>
  <si>
    <t>Task Map, Assumptions &amp; Error Checks</t>
  </si>
  <si>
    <t>Everything in this workbook is formula-driven – these checks prove the totals reconcile and that no cell returns an error</t>
  </si>
  <si>
    <t>Integrity Checks</t>
  </si>
  <si>
    <t>#</t>
  </si>
  <si>
    <t>Check</t>
  </si>
  <si>
    <t>Status</t>
  </si>
  <si>
    <t>Pivot total sales = Dataset total sales</t>
  </si>
  <si>
    <t>Pivot total profit = Dataset total profit</t>
  </si>
  <si>
    <t>Monthly sales total = Dataset total sales</t>
  </si>
  <si>
    <t>Customer sales total = Dataset total sales</t>
  </si>
  <si>
    <t>Histogram frequencies add up to number of orders</t>
  </si>
  <si>
    <t>What-if scenario at 0 pp equals baseline profit</t>
  </si>
  <si>
    <t>Regression uses all orders</t>
  </si>
  <si>
    <t>Dataset has no blank cells</t>
  </si>
  <si>
    <t>Dataset has no error values</t>
  </si>
  <si>
    <t>Overall status</t>
  </si>
  <si>
    <t>Task Map (PR.2 Analyzer)</t>
  </si>
  <si>
    <t>Task</t>
  </si>
  <si>
    <t>Sheet</t>
  </si>
  <si>
    <t>Technique used</t>
  </si>
  <si>
    <t>Highlight top 10 customers by total purchase</t>
  </si>
  <si>
    <t>Customer_Analysis</t>
  </si>
  <si>
    <t>Conditional Formatting (Top 10 rule + formula rule)</t>
  </si>
  <si>
    <t>What-If analysis: discount impact on profit</t>
  </si>
  <si>
    <t>What_If</t>
  </si>
  <si>
    <t>Input cells, scenario formulas, sensitivity table, chart</t>
  </si>
  <si>
    <t>Linear regression: Profit vs Sales</t>
  </si>
  <si>
    <t>ToolPak-style output using SLOPE/INTERCEPT/RSQ/FDIST/TDIST + scatter chart</t>
  </si>
  <si>
    <t>Descriptive statistics</t>
  </si>
  <si>
    <t>Descriptive_Stats</t>
  </si>
  <si>
    <t>ToolPak-style table + histogram with COUNTIFS</t>
  </si>
  <si>
    <t>Up / down arrows on monthly sales growth</t>
  </si>
  <si>
    <t>Monthly_Growth</t>
  </si>
  <si>
    <t>Custom number format  ▲ green / ▼ red</t>
  </si>
  <si>
    <t>Timestamp column using NOW()</t>
  </si>
  <si>
    <t>Dataset (col J) &amp; Dashboard</t>
  </si>
  <si>
    <t>High-value customers (INDEX / MATCH / filters)</t>
  </si>
  <si>
    <t>SUMIF group-by, RANK, INDEX+MATCH lookup, AutoFilter, drop-down lookup</t>
  </si>
  <si>
    <t>Pivot analysis: sales by region and product</t>
  </si>
  <si>
    <t>Pivot_Summary</t>
  </si>
  <si>
    <t>SUMIFS cross-tab with heat-map formatting</t>
  </si>
  <si>
    <t>Bar, line and pie charts for KPIs</t>
  </si>
  <si>
    <t>Dashboard</t>
  </si>
  <si>
    <t>4 charts linked to the analysis sheets</t>
  </si>
  <si>
    <t>Dashboard summarising insights</t>
  </si>
  <si>
    <t>KPI cards + auto-generated insight sentences</t>
  </si>
  <si>
    <t>Data Notes &amp; Assumptions</t>
  </si>
  <si>
    <t>1.  Source: the "Dataset" sheet supplied with the PR.2 project (200 orders, 9 columns, 10-Apr-2024 to 07-Apr-2025). Values were not changed.</t>
  </si>
  <si>
    <t>2.  Currency is not stated in the dataset, so amounts are shown without a currency symbol.</t>
  </si>
  <si>
    <t>3.  Data quality: the same Customer_ID appears with more than one Customer_Name (e.g. CUST014 is both "Emma Davis" and "David Thomas"). All customer analysis therefore groups by Customer_ID (30 IDs).</t>
  </si>
  <si>
    <t>4.  The first month (Apr-2024) starts on the 10th and the last month (Apr-2025) ends on the 7th, so both are partial months. The dashboard "best / weakest month" statement excludes the latest partial month.</t>
  </si>
  <si>
    <t>5.  What-if assumptions (net-of-discount sales, fixed unit cost, 3% volume uplift per +1 pp discount) are illustrative and clearly marked as inputs on the What_If sheet.</t>
  </si>
  <si>
    <t>6.  Colour code: blue text on yellow = input you may change; black = formula.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</si>
</sst>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0.0%"/>
    <numFmt numFmtId="165" formatCode="dd\-mmm\-yyyy"/>
    <numFmt numFmtId="166" formatCode="dd\-mmm\-yyyy\ hh:mm:ss"/>
    <numFmt numFmtId="167" formatCode="\+0.0%;\-0.0%;0.0%"/>
    <numFmt numFmtId="168" formatCode="0.000"/>
    <numFmt numFmtId="169" formatCode="\+#,##0;\-#,##0;0"/>
    <numFmt numFmtId="170" formatCode="0.0000"/>
    <numFmt numFmtId="171" formatCode="#,##0.0000"/>
    <numFmt numFmtId="172" formatCode="0.000000000"/>
    <numFmt numFmtId="173" formatCode="0.000000"/>
    <numFmt numFmtId="174" formatCode="mmm\-yyyy"/>
    <numFmt numFmtId="175" formatCode="[Color10]&quot;▲ &quot;#,##0;[Red]&quot;▼ &quot;#,##0;&quot;► &quot;0"/>
    <numFmt numFmtId="176" formatCode="[Color10]&quot;▲ &quot;0.0%;[Red]&quot;▼ &quot;0.0%;&quot;► &quot;0.0%"/>
    <numFmt numFmtId="177" formatCode="mm/dd/yy\ hh:mm\ AM/PM"/>
  </numFmts>
  <fonts count="18" x14ac:knownFonts="1">
    <font>
      <sz val="11"/>
      <color theme="1"/>
      <name val="Calibri"/>
      <charset val="1"/>
    </font>
    <font>
      <b/>
      <sz val="11"/>
      <color theme="1"/>
      <name val="Calibri"/>
      <charset val="1"/>
    </font>
    <font>
      <b/>
      <sz val="20"/>
      <color rgb="FFFFFFFF"/>
      <name val="Arial"/>
      <charset val="1"/>
    </font>
    <font>
      <i/>
      <sz val="9"/>
      <color rgb="FFFFFFFF"/>
      <name val="Arial"/>
      <charset val="1"/>
    </font>
    <font>
      <b/>
      <sz val="9"/>
      <color rgb="FF595959"/>
      <name val="Arial"/>
      <charset val="1"/>
    </font>
    <font>
      <b/>
      <sz val="20"/>
      <color rgb="FF1F3864"/>
      <name val="Arial"/>
      <charset val="1"/>
    </font>
    <font>
      <i/>
      <sz val="8"/>
      <color rgb="FF7F7F7F"/>
      <name val="Arial"/>
      <charset val="1"/>
    </font>
    <font>
      <b/>
      <sz val="11"/>
      <color rgb="FFFFFFFF"/>
      <name val="Arial"/>
      <charset val="1"/>
    </font>
    <font>
      <sz val="10"/>
      <color rgb="FF262626"/>
      <name val="Arial"/>
      <charset val="1"/>
    </font>
    <font>
      <b/>
      <sz val="10"/>
      <color rgb="FFFFFFFF"/>
      <name val="Arial"/>
      <charset val="1"/>
    </font>
    <font>
      <i/>
      <sz val="9"/>
      <color rgb="FF7F7F7F"/>
      <name val="Arial"/>
      <charset val="1"/>
    </font>
    <font>
      <sz val="10"/>
      <color rgb="FF000000"/>
      <name val="Arial"/>
      <charset val="1"/>
    </font>
    <font>
      <b/>
      <sz val="16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1F3864"/>
      <name val="Arial"/>
      <charset val="1"/>
    </font>
    <font>
      <i/>
      <sz val="10"/>
      <color rgb="FF1F3864"/>
      <name val="Arial"/>
      <charset val="1"/>
    </font>
    <font>
      <sz val="10"/>
      <color rgb="FF7F7F7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864"/>
        <bgColor rgb="FF333399"/>
      </patternFill>
    </fill>
    <fill>
      <patternFill patternType="solid">
        <fgColor rgb="FFF4F8FD"/>
        <bgColor rgb="FFF2F2F2"/>
      </patternFill>
    </fill>
    <fill>
      <patternFill patternType="solid">
        <fgColor rgb="FF2E75B6"/>
        <bgColor rgb="FF4F81BD"/>
      </patternFill>
    </fill>
    <fill>
      <patternFill patternType="solid">
        <fgColor rgb="FFFFFFFF"/>
        <bgColor rgb="FFF4F8FD"/>
      </patternFill>
    </fill>
    <fill>
      <patternFill patternType="solid">
        <fgColor rgb="FFFFFF99"/>
        <bgColor rgb="FFFFF2CC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F4F8FD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ck">
        <color rgb="FF2E75B6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hair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9" fillId="5" borderId="0" xfId="0" applyFont="1" applyFill="1" applyBorder="1" applyAlignment="1">
      <alignment horizontal="left" vertical="center" wrapText="1"/>
    </xf>
    <xf numFmtId="0" fontId="12" fillId="3" borderId="0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8" fillId="6" borderId="4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7" fillId="5" borderId="0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164" fontId="5" fillId="4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" fillId="0" borderId="0" xfId="0" applyFont="1"/>
    <xf numFmtId="0" fontId="10" fillId="0" borderId="0" xfId="0" applyFont="1"/>
    <xf numFmtId="0" fontId="11" fillId="0" borderId="5" xfId="0" applyFont="1" applyBorder="1"/>
    <xf numFmtId="4" fontId="11" fillId="0" borderId="5" xfId="0" applyNumberFormat="1" applyFont="1" applyBorder="1"/>
    <xf numFmtId="1" fontId="11" fillId="0" borderId="5" xfId="0" applyNumberFormat="1" applyFont="1" applyBorder="1"/>
    <xf numFmtId="9" fontId="11" fillId="0" borderId="5" xfId="0" applyNumberFormat="1" applyFont="1" applyBorder="1"/>
    <xf numFmtId="165" fontId="11" fillId="0" borderId="5" xfId="0" applyNumberFormat="1" applyFont="1" applyBorder="1"/>
    <xf numFmtId="166" fontId="11" fillId="0" borderId="5" xfId="0" applyNumberFormat="1" applyFont="1" applyBorder="1"/>
    <xf numFmtId="0" fontId="13" fillId="0" borderId="5" xfId="0" applyFont="1" applyBorder="1"/>
    <xf numFmtId="9" fontId="14" fillId="7" borderId="5" xfId="0" applyNumberFormat="1" applyFont="1" applyFill="1" applyBorder="1" applyAlignment="1">
      <alignment horizontal="right" vertical="center"/>
    </xf>
    <xf numFmtId="4" fontId="11" fillId="0" borderId="5" xfId="0" applyNumberFormat="1" applyFont="1" applyBorder="1" applyAlignment="1">
      <alignment horizontal="right" vertical="center"/>
    </xf>
    <xf numFmtId="1" fontId="11" fillId="0" borderId="5" xfId="0" applyNumberFormat="1" applyFont="1" applyBorder="1" applyAlignment="1">
      <alignment horizontal="right" vertical="center"/>
    </xf>
    <xf numFmtId="0" fontId="15" fillId="8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/>
    </xf>
    <xf numFmtId="164" fontId="11" fillId="0" borderId="5" xfId="0" applyNumberFormat="1" applyFont="1" applyBorder="1"/>
    <xf numFmtId="1" fontId="11" fillId="0" borderId="5" xfId="0" applyNumberFormat="1" applyFont="1" applyBorder="1" applyAlignment="1">
      <alignment horizontal="center"/>
    </xf>
    <xf numFmtId="0" fontId="14" fillId="7" borderId="5" xfId="0" applyFont="1" applyFill="1" applyBorder="1" applyAlignment="1">
      <alignment horizontal="center"/>
    </xf>
    <xf numFmtId="4" fontId="11" fillId="0" borderId="5" xfId="0" applyNumberFormat="1" applyFont="1" applyBorder="1" applyAlignment="1">
      <alignment horizontal="center"/>
    </xf>
    <xf numFmtId="0" fontId="13" fillId="9" borderId="5" xfId="0" applyFont="1" applyFill="1" applyBorder="1"/>
    <xf numFmtId="1" fontId="13" fillId="9" borderId="5" xfId="0" applyNumberFormat="1" applyFont="1" applyFill="1" applyBorder="1"/>
    <xf numFmtId="4" fontId="13" fillId="9" borderId="5" xfId="0" applyNumberFormat="1" applyFont="1" applyFill="1" applyBorder="1"/>
    <xf numFmtId="164" fontId="13" fillId="9" borderId="5" xfId="0" applyNumberFormat="1" applyFont="1" applyFill="1" applyBorder="1"/>
    <xf numFmtId="0" fontId="11" fillId="9" borderId="5" xfId="0" applyFont="1" applyFill="1" applyBorder="1"/>
    <xf numFmtId="0" fontId="13" fillId="0" borderId="5" xfId="0" applyFont="1" applyBorder="1" applyAlignment="1">
      <alignment horizontal="left" vertical="center" wrapText="1"/>
    </xf>
    <xf numFmtId="167" fontId="14" fillId="7" borderId="5" xfId="0" applyNumberFormat="1" applyFont="1" applyFill="1" applyBorder="1" applyAlignment="1">
      <alignment horizontal="right" vertical="center"/>
    </xf>
    <xf numFmtId="164" fontId="14" fillId="7" borderId="5" xfId="0" applyNumberFormat="1" applyFont="1" applyFill="1" applyBorder="1" applyAlignment="1">
      <alignment horizontal="right" vertical="center"/>
    </xf>
    <xf numFmtId="168" fontId="11" fillId="0" borderId="5" xfId="0" applyNumberFormat="1" applyFont="1" applyBorder="1" applyAlignment="1">
      <alignment horizontal="right" vertical="center"/>
    </xf>
    <xf numFmtId="167" fontId="11" fillId="0" borderId="5" xfId="0" applyNumberFormat="1" applyFont="1" applyBorder="1"/>
    <xf numFmtId="3" fontId="11" fillId="0" borderId="5" xfId="0" applyNumberFormat="1" applyFont="1" applyBorder="1"/>
    <xf numFmtId="169" fontId="11" fillId="0" borderId="5" xfId="0" applyNumberFormat="1" applyFont="1" applyBorder="1"/>
    <xf numFmtId="0" fontId="13" fillId="2" borderId="5" xfId="0" applyFont="1" applyFill="1" applyBorder="1"/>
    <xf numFmtId="3" fontId="11" fillId="2" borderId="5" xfId="0" applyNumberFormat="1" applyFont="1" applyFill="1" applyBorder="1"/>
    <xf numFmtId="169" fontId="11" fillId="2" borderId="5" xfId="0" applyNumberFormat="1" applyFont="1" applyFill="1" applyBorder="1"/>
    <xf numFmtId="167" fontId="11" fillId="2" borderId="5" xfId="0" applyNumberFormat="1" applyFont="1" applyFill="1" applyBorder="1"/>
    <xf numFmtId="170" fontId="11" fillId="0" borderId="5" xfId="0" applyNumberFormat="1" applyFont="1" applyBorder="1" applyAlignment="1">
      <alignment horizontal="right" vertical="center"/>
    </xf>
    <xf numFmtId="171" fontId="11" fillId="0" borderId="5" xfId="0" applyNumberFormat="1" applyFont="1" applyBorder="1" applyAlignment="1">
      <alignment horizontal="right" vertical="center"/>
    </xf>
    <xf numFmtId="171" fontId="11" fillId="0" borderId="5" xfId="0" applyNumberFormat="1" applyFont="1" applyBorder="1"/>
    <xf numFmtId="172" fontId="11" fillId="0" borderId="5" xfId="0" applyNumberFormat="1" applyFont="1" applyBorder="1"/>
    <xf numFmtId="1" fontId="11" fillId="9" borderId="5" xfId="0" applyNumberFormat="1" applyFont="1" applyFill="1" applyBorder="1"/>
    <xf numFmtId="4" fontId="11" fillId="9" borderId="5" xfId="0" applyNumberFormat="1" applyFont="1" applyFill="1" applyBorder="1"/>
    <xf numFmtId="170" fontId="11" fillId="0" borderId="5" xfId="0" applyNumberFormat="1" applyFont="1" applyBorder="1"/>
    <xf numFmtId="173" fontId="11" fillId="0" borderId="5" xfId="0" applyNumberFormat="1" applyFont="1" applyBorder="1"/>
    <xf numFmtId="4" fontId="14" fillId="7" borderId="5" xfId="0" applyNumberFormat="1" applyFont="1" applyFill="1" applyBorder="1" applyAlignment="1">
      <alignment horizontal="right" vertical="center"/>
    </xf>
    <xf numFmtId="4" fontId="13" fillId="0" borderId="5" xfId="0" applyNumberFormat="1" applyFont="1" applyBorder="1" applyAlignment="1">
      <alignment horizontal="right" vertical="center"/>
    </xf>
    <xf numFmtId="3" fontId="14" fillId="7" borderId="5" xfId="0" applyNumberFormat="1" applyFont="1" applyFill="1" applyBorder="1" applyAlignment="1">
      <alignment horizontal="right" vertical="center"/>
    </xf>
    <xf numFmtId="1" fontId="13" fillId="9" borderId="5" xfId="0" applyNumberFormat="1" applyFont="1" applyFill="1" applyBorder="1" applyAlignment="1">
      <alignment horizontal="center"/>
    </xf>
    <xf numFmtId="174" fontId="11" fillId="0" borderId="5" xfId="0" applyNumberFormat="1" applyFont="1" applyBorder="1" applyAlignment="1">
      <alignment horizontal="center"/>
    </xf>
    <xf numFmtId="0" fontId="17" fillId="0" borderId="5" xfId="0" applyFont="1" applyBorder="1" applyAlignment="1">
      <alignment horizontal="right"/>
    </xf>
    <xf numFmtId="175" fontId="11" fillId="0" borderId="5" xfId="0" applyNumberFormat="1" applyFont="1" applyBorder="1" applyAlignment="1">
      <alignment horizontal="right" vertical="center"/>
    </xf>
    <xf numFmtId="176" fontId="11" fillId="0" borderId="5" xfId="0" applyNumberFormat="1" applyFont="1" applyBorder="1" applyAlignment="1">
      <alignment horizontal="right" vertical="center"/>
    </xf>
    <xf numFmtId="0" fontId="13" fillId="9" borderId="5" xfId="0" applyFont="1" applyFill="1" applyBorder="1" applyAlignment="1">
      <alignment horizontal="center"/>
    </xf>
    <xf numFmtId="3" fontId="13" fillId="9" borderId="5" xfId="0" applyNumberFormat="1" applyFont="1" applyFill="1" applyBorder="1"/>
    <xf numFmtId="164" fontId="13" fillId="0" borderId="5" xfId="0" applyNumberFormat="1" applyFont="1" applyBorder="1"/>
    <xf numFmtId="0" fontId="11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/>
    </xf>
    <xf numFmtId="0" fontId="11" fillId="2" borderId="6" xfId="0" applyFont="1" applyFill="1" applyBorder="1" applyAlignment="1">
      <alignment horizontal="left" vertical="center" wrapText="1"/>
    </xf>
    <xf numFmtId="0" fontId="14" fillId="7" borderId="6" xfId="0" applyFont="1" applyFill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3" fillId="0" borderId="5" xfId="0" applyFont="1" applyBorder="1"/>
    <xf numFmtId="0" fontId="10" fillId="0" borderId="0" xfId="0" applyFont="1" applyBorder="1" applyAlignment="1">
      <alignment vertical="top" wrapText="1"/>
    </xf>
    <xf numFmtId="0" fontId="16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177" fontId="11" fillId="0" borderId="5" xfId="0" applyNumberFormat="1" applyFont="1" applyBorder="1" applyAlignment="1">
      <alignment horizontal="left" vertical="center" wrapText="1"/>
    </xf>
    <xf numFmtId="0" fontId="11" fillId="0" borderId="0" xfId="0" applyFont="1" applyBorder="1" applyAlignment="1">
      <alignment vertical="top" wrapText="1"/>
    </xf>
  </cellXfs>
  <cellStyles count="1">
    <cellStyle name="Normal" xfId="0" builtinId="0"/>
  </cellStyles>
  <dxfs count="8"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006100"/>
        <name val="Arial"/>
        <charset val="1"/>
      </font>
    </dxf>
    <dxf>
      <font>
        <b/>
        <color rgb="FFC00000"/>
        <name val="Arial"/>
        <charset val="1"/>
      </font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006100"/>
        <name val="Arial"/>
        <charset val="1"/>
      </font>
    </dxf>
    <dxf>
      <font>
        <b/>
        <color rgb="FF7F6000"/>
        <name val="Arial"/>
        <charset val="1"/>
      </font>
      <fill>
        <patternFill>
          <bgColor rgb="FFFFD966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D966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7F7F7F"/>
      <rgbColor rgb="FF5B9BD5"/>
      <rgbColor rgb="FF7030A0"/>
      <rgbColor rgb="FFFFF2CC"/>
      <rgbColor rgb="FFF4F8FD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D9D9D9"/>
      <rgbColor rgb="FFFF99CC"/>
      <rgbColor rgb="FFCC99FF"/>
      <rgbColor rgb="FFFFC7CE"/>
      <rgbColor rgb="FF2E75B6"/>
      <rgbColor rgb="FF33CCCC"/>
      <rgbColor rgb="FF70AD47"/>
      <rgbColor rgb="FFFFC000"/>
      <rgbColor rgb="FFFF9900"/>
      <rgbColor rgb="FFED7D31"/>
      <rgbColor rgb="FF595959"/>
      <rgbColor rgb="FF8B8B8B"/>
      <rgbColor rgb="FF1F3864"/>
      <rgbColor rgb="FF4F81BD"/>
      <rgbColor rgb="FF003300"/>
      <rgbColor rgb="FF33330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Total 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Pivot_Summary!$G$5</c:f>
              <c:strCache>
                <c:ptCount val="1"/>
                <c:pt idx="0">
                  <c:v>Grand Total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Pivot_Summary!$A$6:$A$10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Pivot_Summary!$G$6:$G$10</c:f>
              <c:numCache>
                <c:formatCode>#,##0</c:formatCode>
                <c:ptCount val="5"/>
                <c:pt idx="0">
                  <c:v>43468.33</c:v>
                </c:pt>
                <c:pt idx="1">
                  <c:v>32441.640000000003</c:v>
                </c:pt>
                <c:pt idx="2">
                  <c:v>34975.420000000006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AA-471C-BD0A-9E456E608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4529780"/>
        <c:axId val="21908111"/>
      </c:barChart>
      <c:catAx>
        <c:axId val="145297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1908111"/>
        <c:crosses val="autoZero"/>
        <c:auto val="1"/>
        <c:lblAlgn val="ctr"/>
        <c:lblOffset val="100"/>
        <c:noMultiLvlLbl val="0"/>
      </c:catAx>
      <c:valAx>
        <c:axId val="21908111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45297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Sales Share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E75B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C30-4FA3-ABEE-FDC04C1BF99A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C30-4FA3-ABEE-FDC04C1BF99A}"/>
              </c:ext>
            </c:extLst>
          </c:dPt>
          <c:dPt>
            <c:idx val="2"/>
            <c:bubble3D val="0"/>
            <c:spPr>
              <a:solidFill>
                <a:srgbClr val="70AD4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C30-4FA3-ABEE-FDC04C1BF99A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DC30-4FA3-ABEE-FDC04C1BF99A}"/>
              </c:ext>
            </c:extLst>
          </c:dPt>
          <c:dPt>
            <c:idx val="4"/>
            <c:bubble3D val="0"/>
            <c:spPr>
              <a:solidFill>
                <a:srgbClr val="7F7F7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DC30-4FA3-ABEE-FDC04C1BF99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DC30-4FA3-ABEE-FDC04C1BF99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DC30-4FA3-ABEE-FDC04C1BF99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DC30-4FA3-ABEE-FDC04C1BF99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DC30-4FA3-ABEE-FDC04C1BF99A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DC30-4FA3-ABEE-FDC04C1BF9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Pivot_Summary!$B$5:$F$5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Pivot_Summary!$B$11:$F$11</c:f>
              <c:numCache>
                <c:formatCode>#,##0</c:formatCode>
                <c:ptCount val="5"/>
                <c:pt idx="0">
                  <c:v>47002.460000000006</c:v>
                </c:pt>
                <c:pt idx="1">
                  <c:v>41927.589999999997</c:v>
                </c:pt>
                <c:pt idx="2">
                  <c:v>41044</c:v>
                </c:pt>
                <c:pt idx="3">
                  <c:v>36612.89</c:v>
                </c:pt>
                <c:pt idx="4">
                  <c:v>28630.82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C30-4FA3-ABEE-FDC04C1BF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Monthly_Growth!$C$5</c:f>
              <c:strCache>
                <c:ptCount val="1"/>
                <c:pt idx="0">
                  <c:v>Sales</c:v>
                </c:pt>
              </c:strCache>
            </c:strRef>
          </c:tx>
          <c:spPr>
            <a:ln w="28080">
              <a:solidFill>
                <a:srgbClr val="ED7D31"/>
              </a:solidFill>
              <a:round/>
            </a:ln>
          </c:spPr>
          <c:marker>
            <c:symbol val="circle"/>
            <c:size val="6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Monthly_Growth!$A$6:$A$18</c:f>
              <c:numCache>
                <c:formatCode>mmm\-yyyy</c:formatCode>
                <c:ptCount val="13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</c:numCache>
            </c:numRef>
          </c:cat>
          <c:val>
            <c:numRef>
              <c:f>Monthly_Growth!$C$6:$C$18</c:f>
              <c:numCache>
                <c:formatCode>#,##0</c:formatCode>
                <c:ptCount val="13"/>
                <c:pt idx="0">
                  <c:v>19029.96</c:v>
                </c:pt>
                <c:pt idx="1">
                  <c:v>18507.339999999997</c:v>
                </c:pt>
                <c:pt idx="2">
                  <c:v>20187.509999999998</c:v>
                </c:pt>
                <c:pt idx="3">
                  <c:v>11609.039999999999</c:v>
                </c:pt>
                <c:pt idx="4">
                  <c:v>10091.699999999999</c:v>
                </c:pt>
                <c:pt idx="5">
                  <c:v>20533.499999999996</c:v>
                </c:pt>
                <c:pt idx="6">
                  <c:v>14215.240000000002</c:v>
                </c:pt>
                <c:pt idx="7">
                  <c:v>20135.030000000002</c:v>
                </c:pt>
                <c:pt idx="8">
                  <c:v>11120.04</c:v>
                </c:pt>
                <c:pt idx="9">
                  <c:v>14914.650000000001</c:v>
                </c:pt>
                <c:pt idx="10">
                  <c:v>14006.359999999999</c:v>
                </c:pt>
                <c:pt idx="11">
                  <c:v>17655.219999999998</c:v>
                </c:pt>
                <c:pt idx="12">
                  <c:v>3212.17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27-40CB-86C1-FB4CFF0C2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7158224"/>
        <c:axId val="79021333"/>
      </c:lineChart>
      <c:dateAx>
        <c:axId val="27158224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79021333"/>
        <c:crosses val="autoZero"/>
        <c:auto val="1"/>
        <c:lblOffset val="100"/>
        <c:baseTimeUnit val="months"/>
      </c:dateAx>
      <c:valAx>
        <c:axId val="7902133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71582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Top 10 Customers by Total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Customer_Analysis!$L$9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Customer_Analysis!$K$10:$K$19</c:f>
              <c:strCache>
                <c:ptCount val="10"/>
                <c:pt idx="0">
                  <c:v>CUST015</c:v>
                </c:pt>
                <c:pt idx="1">
                  <c:v>CUST028</c:v>
                </c:pt>
                <c:pt idx="2">
                  <c:v>CUST007</c:v>
                </c:pt>
                <c:pt idx="3">
                  <c:v>CUST008</c:v>
                </c:pt>
                <c:pt idx="4">
                  <c:v>CUST026</c:v>
                </c:pt>
                <c:pt idx="5">
                  <c:v>CUST021</c:v>
                </c:pt>
                <c:pt idx="6">
                  <c:v>CUST003</c:v>
                </c:pt>
                <c:pt idx="7">
                  <c:v>CUST012</c:v>
                </c:pt>
                <c:pt idx="8">
                  <c:v>CUST030</c:v>
                </c:pt>
                <c:pt idx="9">
                  <c:v>CUST004</c:v>
                </c:pt>
              </c:strCache>
            </c:strRef>
          </c:cat>
          <c:val>
            <c:numRef>
              <c:f>Customer_Analysis!$L$10:$L$19</c:f>
              <c:numCache>
                <c:formatCode>#,##0.00</c:formatCode>
                <c:ptCount val="10"/>
                <c:pt idx="0">
                  <c:v>11611.060000000001</c:v>
                </c:pt>
                <c:pt idx="1">
                  <c:v>10293.870000000001</c:v>
                </c:pt>
                <c:pt idx="2">
                  <c:v>9941.8799999999992</c:v>
                </c:pt>
                <c:pt idx="3">
                  <c:v>9760.7999999999993</c:v>
                </c:pt>
                <c:pt idx="4">
                  <c:v>9371.81</c:v>
                </c:pt>
                <c:pt idx="5">
                  <c:v>8740.18</c:v>
                </c:pt>
                <c:pt idx="6">
                  <c:v>8490.18</c:v>
                </c:pt>
                <c:pt idx="7">
                  <c:v>8339</c:v>
                </c:pt>
                <c:pt idx="8">
                  <c:v>7928.71</c:v>
                </c:pt>
                <c:pt idx="9">
                  <c:v>7813.59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86-48B8-B677-4B852F8F4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2474569"/>
        <c:axId val="48581130"/>
      </c:barChart>
      <c:catAx>
        <c:axId val="7247456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48581130"/>
        <c:crosses val="autoZero"/>
        <c:auto val="1"/>
        <c:lblAlgn val="ctr"/>
        <c:lblOffset val="100"/>
        <c:noMultiLvlLbl val="0"/>
      </c:catAx>
      <c:valAx>
        <c:axId val="48581130"/>
        <c:scaling>
          <c:orientation val="minMax"/>
        </c:scaling>
        <c:delete val="0"/>
        <c:axPos val="t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724745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Total Profit vs Change in Discount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What_If!$D$19</c:f>
              <c:strCache>
                <c:ptCount val="1"/>
                <c:pt idx="0">
                  <c:v>Total profit</c:v>
                </c:pt>
              </c:strCache>
            </c:strRef>
          </c:tx>
          <c:spPr>
            <a:ln w="28080">
              <a:solidFill>
                <a:srgbClr val="7030A0"/>
              </a:solidFill>
              <a:round/>
            </a:ln>
          </c:spPr>
          <c:marker>
            <c:symbol val="circle"/>
            <c:size val="7"/>
            <c:spPr>
              <a:solidFill>
                <a:srgbClr val="7030A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What_If!$A$20:$A$28</c:f>
              <c:numCache>
                <c:formatCode>\+0.0%;\-0.0%;0.0%</c:formatCode>
                <c:ptCount val="9"/>
                <c:pt idx="0">
                  <c:v>-0.1</c:v>
                </c:pt>
                <c:pt idx="1">
                  <c:v>-7.4999999999999997E-2</c:v>
                </c:pt>
                <c:pt idx="2">
                  <c:v>-0.05</c:v>
                </c:pt>
                <c:pt idx="3">
                  <c:v>-2.5000000000000001E-2</c:v>
                </c:pt>
                <c:pt idx="4">
                  <c:v>0</c:v>
                </c:pt>
                <c:pt idx="5">
                  <c:v>2.5000000000000001E-2</c:v>
                </c:pt>
                <c:pt idx="6">
                  <c:v>0.05</c:v>
                </c:pt>
                <c:pt idx="7">
                  <c:v>7.4999999999999997E-2</c:v>
                </c:pt>
                <c:pt idx="8">
                  <c:v>0.1</c:v>
                </c:pt>
              </c:numCache>
            </c:numRef>
          </c:cat>
          <c:val>
            <c:numRef>
              <c:f>What_If!$D$20:$D$28</c:f>
              <c:numCache>
                <c:formatCode>#,##0</c:formatCode>
                <c:ptCount val="9"/>
                <c:pt idx="0">
                  <c:v>58690.985557490581</c:v>
                </c:pt>
                <c:pt idx="1">
                  <c:v>62374.129615171987</c:v>
                </c:pt>
                <c:pt idx="2">
                  <c:v>65553.046094115562</c:v>
                </c:pt>
                <c:pt idx="3">
                  <c:v>67251.311323268717</c:v>
                </c:pt>
                <c:pt idx="4">
                  <c:v>68287.010000000009</c:v>
                </c:pt>
                <c:pt idx="5">
                  <c:v>67549.054911809391</c:v>
                </c:pt>
                <c:pt idx="6">
                  <c:v>65993.497846196668</c:v>
                </c:pt>
                <c:pt idx="7">
                  <c:v>63620.3388031621</c:v>
                </c:pt>
                <c:pt idx="8">
                  <c:v>60429.577782705717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5C-4CC2-9F01-26A597B1B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117616"/>
        <c:axId val="56640941"/>
      </c:lineChart>
      <c:catAx>
        <c:axId val="91176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Change in discount (pp)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+0.0%;\-0.0%;0.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6640941"/>
        <c:crosses val="autoZero"/>
        <c:auto val="1"/>
        <c:lblAlgn val="ctr"/>
        <c:lblOffset val="100"/>
        <c:noMultiLvlLbl val="0"/>
      </c:catAx>
      <c:valAx>
        <c:axId val="56640941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Total profit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1176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Profit vs Sales (with trendline)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Orders</c:v>
          </c:tx>
          <c:spPr>
            <a:ln w="31680">
              <a:noFill/>
            </a:ln>
          </c:spPr>
          <c:marker>
            <c:symbol val="circle"/>
            <c:size val="5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6480">
                <a:solidFill>
                  <a:srgbClr val="000000"/>
                </a:solidFill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Dataset!$E$2:$E$201</c:f>
              <c:numCache>
                <c:formatCode>#,##0.00</c:formatCode>
                <c:ptCount val="200"/>
                <c:pt idx="0">
                  <c:v>1036.0899999999999</c:v>
                </c:pt>
                <c:pt idx="1">
                  <c:v>1101.28</c:v>
                </c:pt>
                <c:pt idx="2">
                  <c:v>713.34</c:v>
                </c:pt>
                <c:pt idx="3">
                  <c:v>760.93</c:v>
                </c:pt>
                <c:pt idx="4">
                  <c:v>847</c:v>
                </c:pt>
                <c:pt idx="5">
                  <c:v>965.64</c:v>
                </c:pt>
                <c:pt idx="6">
                  <c:v>1317.53</c:v>
                </c:pt>
                <c:pt idx="7">
                  <c:v>1074.47</c:v>
                </c:pt>
                <c:pt idx="8">
                  <c:v>501.54</c:v>
                </c:pt>
                <c:pt idx="9">
                  <c:v>737.31</c:v>
                </c:pt>
                <c:pt idx="10">
                  <c:v>1572.82</c:v>
                </c:pt>
                <c:pt idx="11">
                  <c:v>1343.13</c:v>
                </c:pt>
                <c:pt idx="12">
                  <c:v>1191.58</c:v>
                </c:pt>
                <c:pt idx="13">
                  <c:v>822.28</c:v>
                </c:pt>
                <c:pt idx="14">
                  <c:v>521.66999999999996</c:v>
                </c:pt>
                <c:pt idx="15">
                  <c:v>1502.93</c:v>
                </c:pt>
                <c:pt idx="16">
                  <c:v>877.58</c:v>
                </c:pt>
                <c:pt idx="17">
                  <c:v>636.70000000000005</c:v>
                </c:pt>
                <c:pt idx="18">
                  <c:v>1506.14</c:v>
                </c:pt>
                <c:pt idx="19">
                  <c:v>645.02</c:v>
                </c:pt>
                <c:pt idx="20">
                  <c:v>953.3</c:v>
                </c:pt>
                <c:pt idx="21">
                  <c:v>388.56</c:v>
                </c:pt>
                <c:pt idx="22">
                  <c:v>743.17</c:v>
                </c:pt>
                <c:pt idx="23">
                  <c:v>706.37</c:v>
                </c:pt>
                <c:pt idx="24">
                  <c:v>925.31</c:v>
                </c:pt>
                <c:pt idx="25">
                  <c:v>1173.1199999999999</c:v>
                </c:pt>
                <c:pt idx="26">
                  <c:v>675.54</c:v>
                </c:pt>
                <c:pt idx="27">
                  <c:v>939.09</c:v>
                </c:pt>
                <c:pt idx="28">
                  <c:v>983.34</c:v>
                </c:pt>
                <c:pt idx="29">
                  <c:v>801.21</c:v>
                </c:pt>
                <c:pt idx="30">
                  <c:v>1450.71</c:v>
                </c:pt>
                <c:pt idx="31">
                  <c:v>1023.21</c:v>
                </c:pt>
                <c:pt idx="32">
                  <c:v>853.72</c:v>
                </c:pt>
                <c:pt idx="33">
                  <c:v>967.89</c:v>
                </c:pt>
                <c:pt idx="34">
                  <c:v>1200.9000000000001</c:v>
                </c:pt>
                <c:pt idx="35">
                  <c:v>472.38</c:v>
                </c:pt>
                <c:pt idx="36">
                  <c:v>840.92</c:v>
                </c:pt>
                <c:pt idx="37">
                  <c:v>1410.06</c:v>
                </c:pt>
                <c:pt idx="38">
                  <c:v>773.09</c:v>
                </c:pt>
                <c:pt idx="39">
                  <c:v>580.42999999999995</c:v>
                </c:pt>
                <c:pt idx="40">
                  <c:v>1151.21</c:v>
                </c:pt>
                <c:pt idx="41">
                  <c:v>1025.98</c:v>
                </c:pt>
                <c:pt idx="42">
                  <c:v>556.41999999999996</c:v>
                </c:pt>
                <c:pt idx="43">
                  <c:v>840.85</c:v>
                </c:pt>
                <c:pt idx="44">
                  <c:v>1227.25</c:v>
                </c:pt>
                <c:pt idx="45">
                  <c:v>856.7</c:v>
                </c:pt>
                <c:pt idx="46">
                  <c:v>1225.42</c:v>
                </c:pt>
                <c:pt idx="47">
                  <c:v>1001.57</c:v>
                </c:pt>
                <c:pt idx="48">
                  <c:v>1186.8499999999999</c:v>
                </c:pt>
                <c:pt idx="49">
                  <c:v>775.45</c:v>
                </c:pt>
                <c:pt idx="50">
                  <c:v>1021.47</c:v>
                </c:pt>
                <c:pt idx="51">
                  <c:v>1226.6199999999999</c:v>
                </c:pt>
                <c:pt idx="52">
                  <c:v>1086.93</c:v>
                </c:pt>
                <c:pt idx="53">
                  <c:v>942.9</c:v>
                </c:pt>
                <c:pt idx="54">
                  <c:v>818.8</c:v>
                </c:pt>
                <c:pt idx="55">
                  <c:v>919.04</c:v>
                </c:pt>
                <c:pt idx="56">
                  <c:v>973.26</c:v>
                </c:pt>
                <c:pt idx="57">
                  <c:v>741.61</c:v>
                </c:pt>
                <c:pt idx="58">
                  <c:v>1248.82</c:v>
                </c:pt>
                <c:pt idx="59">
                  <c:v>1360.36</c:v>
                </c:pt>
                <c:pt idx="60">
                  <c:v>1383.3</c:v>
                </c:pt>
                <c:pt idx="61">
                  <c:v>488.99</c:v>
                </c:pt>
                <c:pt idx="62">
                  <c:v>933.71</c:v>
                </c:pt>
                <c:pt idx="63">
                  <c:v>1005.53</c:v>
                </c:pt>
                <c:pt idx="64">
                  <c:v>1100.0999999999999</c:v>
                </c:pt>
                <c:pt idx="65">
                  <c:v>1034.7</c:v>
                </c:pt>
                <c:pt idx="66">
                  <c:v>876.44</c:v>
                </c:pt>
                <c:pt idx="67">
                  <c:v>1371.34</c:v>
                </c:pt>
                <c:pt idx="68">
                  <c:v>1020.26</c:v>
                </c:pt>
                <c:pt idx="69">
                  <c:v>804.81</c:v>
                </c:pt>
                <c:pt idx="70">
                  <c:v>608.66</c:v>
                </c:pt>
                <c:pt idx="71">
                  <c:v>981.2</c:v>
                </c:pt>
                <c:pt idx="72">
                  <c:v>539.77</c:v>
                </c:pt>
                <c:pt idx="73">
                  <c:v>804.45</c:v>
                </c:pt>
                <c:pt idx="74">
                  <c:v>1526.6</c:v>
                </c:pt>
                <c:pt idx="75">
                  <c:v>1215.26</c:v>
                </c:pt>
                <c:pt idx="76">
                  <c:v>1261.3399999999999</c:v>
                </c:pt>
                <c:pt idx="77">
                  <c:v>518.07000000000005</c:v>
                </c:pt>
                <c:pt idx="78">
                  <c:v>1111.3399999999999</c:v>
                </c:pt>
                <c:pt idx="79">
                  <c:v>1291.47</c:v>
                </c:pt>
                <c:pt idx="80">
                  <c:v>679.71</c:v>
                </c:pt>
                <c:pt idx="81">
                  <c:v>1143.69</c:v>
                </c:pt>
                <c:pt idx="82">
                  <c:v>790.08</c:v>
                </c:pt>
                <c:pt idx="83">
                  <c:v>1070.68</c:v>
                </c:pt>
                <c:pt idx="84">
                  <c:v>1168.8900000000001</c:v>
                </c:pt>
                <c:pt idx="85">
                  <c:v>1335.87</c:v>
                </c:pt>
                <c:pt idx="86">
                  <c:v>873.7</c:v>
                </c:pt>
                <c:pt idx="87">
                  <c:v>1443.98</c:v>
                </c:pt>
                <c:pt idx="88">
                  <c:v>1154.33</c:v>
                </c:pt>
                <c:pt idx="89">
                  <c:v>1264.49</c:v>
                </c:pt>
                <c:pt idx="90">
                  <c:v>1101.55</c:v>
                </c:pt>
                <c:pt idx="91">
                  <c:v>727.73</c:v>
                </c:pt>
                <c:pt idx="92">
                  <c:v>875.41</c:v>
                </c:pt>
                <c:pt idx="93">
                  <c:v>1158.94</c:v>
                </c:pt>
                <c:pt idx="94">
                  <c:v>966.3</c:v>
                </c:pt>
                <c:pt idx="95">
                  <c:v>917.48</c:v>
                </c:pt>
                <c:pt idx="96">
                  <c:v>1172.97</c:v>
                </c:pt>
                <c:pt idx="97">
                  <c:v>1205.82</c:v>
                </c:pt>
                <c:pt idx="98">
                  <c:v>826.93</c:v>
                </c:pt>
                <c:pt idx="99">
                  <c:v>902.19</c:v>
                </c:pt>
                <c:pt idx="100">
                  <c:v>585.97</c:v>
                </c:pt>
                <c:pt idx="101">
                  <c:v>990.19</c:v>
                </c:pt>
                <c:pt idx="102">
                  <c:v>1014.09</c:v>
                </c:pt>
                <c:pt idx="103">
                  <c:v>925.29</c:v>
                </c:pt>
                <c:pt idx="104">
                  <c:v>1286.54</c:v>
                </c:pt>
                <c:pt idx="105">
                  <c:v>961.62</c:v>
                </c:pt>
                <c:pt idx="106">
                  <c:v>1081.1400000000001</c:v>
                </c:pt>
                <c:pt idx="107">
                  <c:v>1923.66</c:v>
                </c:pt>
                <c:pt idx="108">
                  <c:v>728.71</c:v>
                </c:pt>
                <c:pt idx="109">
                  <c:v>1301.8900000000001</c:v>
                </c:pt>
                <c:pt idx="110">
                  <c:v>980.18</c:v>
                </c:pt>
                <c:pt idx="111">
                  <c:v>697.57</c:v>
                </c:pt>
                <c:pt idx="112">
                  <c:v>1193.6099999999999</c:v>
                </c:pt>
                <c:pt idx="113">
                  <c:v>771.02</c:v>
                </c:pt>
                <c:pt idx="114">
                  <c:v>661.09</c:v>
                </c:pt>
                <c:pt idx="115">
                  <c:v>688.83</c:v>
                </c:pt>
                <c:pt idx="116">
                  <c:v>1249.0999999999999</c:v>
                </c:pt>
                <c:pt idx="117">
                  <c:v>1014.22</c:v>
                </c:pt>
                <c:pt idx="118">
                  <c:v>1010.58</c:v>
                </c:pt>
                <c:pt idx="119">
                  <c:v>957.29</c:v>
                </c:pt>
                <c:pt idx="120">
                  <c:v>1077.92</c:v>
                </c:pt>
                <c:pt idx="121">
                  <c:v>1163.01</c:v>
                </c:pt>
                <c:pt idx="122">
                  <c:v>1014.56</c:v>
                </c:pt>
                <c:pt idx="123">
                  <c:v>718.04</c:v>
                </c:pt>
                <c:pt idx="124">
                  <c:v>1277.8499999999999</c:v>
                </c:pt>
                <c:pt idx="125">
                  <c:v>706.73</c:v>
                </c:pt>
                <c:pt idx="126">
                  <c:v>1410.59</c:v>
                </c:pt>
                <c:pt idx="127">
                  <c:v>1350.33</c:v>
                </c:pt>
                <c:pt idx="128">
                  <c:v>919.18</c:v>
                </c:pt>
                <c:pt idx="129">
                  <c:v>258.51</c:v>
                </c:pt>
                <c:pt idx="130">
                  <c:v>1213.48</c:v>
                </c:pt>
                <c:pt idx="131">
                  <c:v>1150.28</c:v>
                </c:pt>
                <c:pt idx="132">
                  <c:v>853.86</c:v>
                </c:pt>
                <c:pt idx="133">
                  <c:v>1061.04</c:v>
                </c:pt>
                <c:pt idx="134">
                  <c:v>894.55</c:v>
                </c:pt>
                <c:pt idx="135">
                  <c:v>833.91</c:v>
                </c:pt>
                <c:pt idx="136">
                  <c:v>820.19</c:v>
                </c:pt>
                <c:pt idx="137">
                  <c:v>511.74</c:v>
                </c:pt>
                <c:pt idx="138">
                  <c:v>806.03</c:v>
                </c:pt>
                <c:pt idx="139">
                  <c:v>1432.47</c:v>
                </c:pt>
                <c:pt idx="140">
                  <c:v>1488.58</c:v>
                </c:pt>
                <c:pt idx="141">
                  <c:v>1231.26</c:v>
                </c:pt>
                <c:pt idx="142">
                  <c:v>1161.67</c:v>
                </c:pt>
                <c:pt idx="143">
                  <c:v>388.23</c:v>
                </c:pt>
                <c:pt idx="144">
                  <c:v>1589.42</c:v>
                </c:pt>
                <c:pt idx="145">
                  <c:v>336.66</c:v>
                </c:pt>
                <c:pt idx="146">
                  <c:v>1353.79</c:v>
                </c:pt>
                <c:pt idx="147">
                  <c:v>662.61</c:v>
                </c:pt>
                <c:pt idx="148">
                  <c:v>309.42</c:v>
                </c:pt>
                <c:pt idx="149">
                  <c:v>884.63</c:v>
                </c:pt>
                <c:pt idx="150">
                  <c:v>745.05</c:v>
                </c:pt>
                <c:pt idx="151">
                  <c:v>870.23</c:v>
                </c:pt>
                <c:pt idx="152">
                  <c:v>862.19</c:v>
                </c:pt>
                <c:pt idx="153">
                  <c:v>1171.18</c:v>
                </c:pt>
                <c:pt idx="154">
                  <c:v>1054.56</c:v>
                </c:pt>
                <c:pt idx="155">
                  <c:v>1681.21</c:v>
                </c:pt>
                <c:pt idx="156">
                  <c:v>379.77</c:v>
                </c:pt>
                <c:pt idx="157">
                  <c:v>1076.33</c:v>
                </c:pt>
                <c:pt idx="158">
                  <c:v>1250.71</c:v>
                </c:pt>
                <c:pt idx="159">
                  <c:v>1118.3399999999999</c:v>
                </c:pt>
                <c:pt idx="160">
                  <c:v>1622.62</c:v>
                </c:pt>
                <c:pt idx="161">
                  <c:v>640.64</c:v>
                </c:pt>
                <c:pt idx="162">
                  <c:v>585.16</c:v>
                </c:pt>
                <c:pt idx="163">
                  <c:v>1109.98</c:v>
                </c:pt>
                <c:pt idx="164">
                  <c:v>1098.08</c:v>
                </c:pt>
                <c:pt idx="165">
                  <c:v>827.25</c:v>
                </c:pt>
                <c:pt idx="166">
                  <c:v>741.88</c:v>
                </c:pt>
                <c:pt idx="167">
                  <c:v>1311.26</c:v>
                </c:pt>
                <c:pt idx="168">
                  <c:v>573.32000000000005</c:v>
                </c:pt>
                <c:pt idx="169">
                  <c:v>1115.22</c:v>
                </c:pt>
                <c:pt idx="170">
                  <c:v>845.84</c:v>
                </c:pt>
                <c:pt idx="171">
                  <c:v>1029.8</c:v>
                </c:pt>
                <c:pt idx="172">
                  <c:v>1189.83</c:v>
                </c:pt>
                <c:pt idx="173">
                  <c:v>704.28</c:v>
                </c:pt>
                <c:pt idx="174">
                  <c:v>1618.22</c:v>
                </c:pt>
                <c:pt idx="175">
                  <c:v>1014.43</c:v>
                </c:pt>
                <c:pt idx="176">
                  <c:v>826.97</c:v>
                </c:pt>
                <c:pt idx="177">
                  <c:v>1022.23</c:v>
                </c:pt>
                <c:pt idx="178">
                  <c:v>1099.69</c:v>
                </c:pt>
                <c:pt idx="179">
                  <c:v>710.52</c:v>
                </c:pt>
                <c:pt idx="180">
                  <c:v>499.18</c:v>
                </c:pt>
                <c:pt idx="181">
                  <c:v>1064.19</c:v>
                </c:pt>
                <c:pt idx="182">
                  <c:v>438.76</c:v>
                </c:pt>
                <c:pt idx="183">
                  <c:v>864.98</c:v>
                </c:pt>
                <c:pt idx="184">
                  <c:v>984.93</c:v>
                </c:pt>
                <c:pt idx="185">
                  <c:v>1493.49</c:v>
                </c:pt>
                <c:pt idx="186">
                  <c:v>689.43</c:v>
                </c:pt>
                <c:pt idx="187">
                  <c:v>682.24</c:v>
                </c:pt>
                <c:pt idx="188">
                  <c:v>458.54</c:v>
                </c:pt>
                <c:pt idx="189">
                  <c:v>1184.25</c:v>
                </c:pt>
                <c:pt idx="190">
                  <c:v>762.14</c:v>
                </c:pt>
                <c:pt idx="191">
                  <c:v>750.71</c:v>
                </c:pt>
                <c:pt idx="192">
                  <c:v>1456.94</c:v>
                </c:pt>
                <c:pt idx="193">
                  <c:v>1093.3800000000001</c:v>
                </c:pt>
                <c:pt idx="194">
                  <c:v>934.27</c:v>
                </c:pt>
                <c:pt idx="195">
                  <c:v>1465.35</c:v>
                </c:pt>
                <c:pt idx="196">
                  <c:v>740.8</c:v>
                </c:pt>
                <c:pt idx="197">
                  <c:v>545.44000000000005</c:v>
                </c:pt>
                <c:pt idx="198">
                  <c:v>997.61</c:v>
                </c:pt>
                <c:pt idx="199">
                  <c:v>928.32</c:v>
                </c:pt>
              </c:numCache>
            </c:numRef>
          </c:xVal>
          <c:yVal>
            <c:numRef>
              <c:f>Dataset!$I$2:$I$201</c:f>
              <c:numCache>
                <c:formatCode>#,##0.00</c:formatCode>
                <c:ptCount val="200"/>
                <c:pt idx="0">
                  <c:v>331.55</c:v>
                </c:pt>
                <c:pt idx="1">
                  <c:v>440.51</c:v>
                </c:pt>
                <c:pt idx="2">
                  <c:v>285.33999999999997</c:v>
                </c:pt>
                <c:pt idx="3">
                  <c:v>161.69999999999999</c:v>
                </c:pt>
                <c:pt idx="4">
                  <c:v>271.04000000000002</c:v>
                </c:pt>
                <c:pt idx="5">
                  <c:v>304.18</c:v>
                </c:pt>
                <c:pt idx="6">
                  <c:v>312.91000000000003</c:v>
                </c:pt>
                <c:pt idx="7">
                  <c:v>300.85000000000002</c:v>
                </c:pt>
                <c:pt idx="8">
                  <c:v>190.59</c:v>
                </c:pt>
                <c:pt idx="9">
                  <c:v>350.22</c:v>
                </c:pt>
                <c:pt idx="10">
                  <c:v>672.38</c:v>
                </c:pt>
                <c:pt idx="11">
                  <c:v>456.66</c:v>
                </c:pt>
                <c:pt idx="12">
                  <c:v>452.8</c:v>
                </c:pt>
                <c:pt idx="13">
                  <c:v>273.41000000000003</c:v>
                </c:pt>
                <c:pt idx="14">
                  <c:v>155.19999999999999</c:v>
                </c:pt>
                <c:pt idx="15">
                  <c:v>300.58999999999997</c:v>
                </c:pt>
                <c:pt idx="16">
                  <c:v>298.38</c:v>
                </c:pt>
                <c:pt idx="17">
                  <c:v>203.74</c:v>
                </c:pt>
                <c:pt idx="18">
                  <c:v>481.96</c:v>
                </c:pt>
                <c:pt idx="19">
                  <c:v>161.26</c:v>
                </c:pt>
                <c:pt idx="20">
                  <c:v>476.65</c:v>
                </c:pt>
                <c:pt idx="21">
                  <c:v>82.57</c:v>
                </c:pt>
                <c:pt idx="22">
                  <c:v>297.27</c:v>
                </c:pt>
                <c:pt idx="23">
                  <c:v>176.59</c:v>
                </c:pt>
                <c:pt idx="24">
                  <c:v>374.75</c:v>
                </c:pt>
                <c:pt idx="25">
                  <c:v>293.27999999999997</c:v>
                </c:pt>
                <c:pt idx="26">
                  <c:v>236.44</c:v>
                </c:pt>
                <c:pt idx="27">
                  <c:v>356.85</c:v>
                </c:pt>
                <c:pt idx="28">
                  <c:v>398.25</c:v>
                </c:pt>
                <c:pt idx="29">
                  <c:v>160.24</c:v>
                </c:pt>
                <c:pt idx="30">
                  <c:v>326.41000000000003</c:v>
                </c:pt>
                <c:pt idx="31">
                  <c:v>388.82</c:v>
                </c:pt>
                <c:pt idx="32">
                  <c:v>253.98</c:v>
                </c:pt>
                <c:pt idx="33">
                  <c:v>217.78</c:v>
                </c:pt>
                <c:pt idx="34">
                  <c:v>513.38</c:v>
                </c:pt>
                <c:pt idx="35">
                  <c:v>151.16</c:v>
                </c:pt>
                <c:pt idx="36">
                  <c:v>359.49</c:v>
                </c:pt>
                <c:pt idx="37">
                  <c:v>468.84</c:v>
                </c:pt>
                <c:pt idx="38">
                  <c:v>229.99</c:v>
                </c:pt>
                <c:pt idx="39">
                  <c:v>197.35</c:v>
                </c:pt>
                <c:pt idx="40">
                  <c:v>414.44</c:v>
                </c:pt>
                <c:pt idx="41">
                  <c:v>369.35</c:v>
                </c:pt>
                <c:pt idx="42">
                  <c:v>212.83</c:v>
                </c:pt>
                <c:pt idx="43">
                  <c:v>302.70999999999998</c:v>
                </c:pt>
                <c:pt idx="44">
                  <c:v>365.11</c:v>
                </c:pt>
                <c:pt idx="45">
                  <c:v>214.18</c:v>
                </c:pt>
                <c:pt idx="46">
                  <c:v>468.72</c:v>
                </c:pt>
                <c:pt idx="47">
                  <c:v>450.71</c:v>
                </c:pt>
                <c:pt idx="48">
                  <c:v>332.32</c:v>
                </c:pt>
                <c:pt idx="49">
                  <c:v>174.48</c:v>
                </c:pt>
                <c:pt idx="50">
                  <c:v>242.6</c:v>
                </c:pt>
                <c:pt idx="51">
                  <c:v>551.98</c:v>
                </c:pt>
                <c:pt idx="52">
                  <c:v>380.43</c:v>
                </c:pt>
                <c:pt idx="53">
                  <c:v>339.44</c:v>
                </c:pt>
                <c:pt idx="54">
                  <c:v>173.99</c:v>
                </c:pt>
                <c:pt idx="55">
                  <c:v>257.33</c:v>
                </c:pt>
                <c:pt idx="56">
                  <c:v>389.3</c:v>
                </c:pt>
                <c:pt idx="57">
                  <c:v>148.32</c:v>
                </c:pt>
                <c:pt idx="58">
                  <c:v>449.58</c:v>
                </c:pt>
                <c:pt idx="59">
                  <c:v>680.18</c:v>
                </c:pt>
                <c:pt idx="60">
                  <c:v>497.99</c:v>
                </c:pt>
                <c:pt idx="61">
                  <c:v>220.05</c:v>
                </c:pt>
                <c:pt idx="62">
                  <c:v>294.12</c:v>
                </c:pt>
                <c:pt idx="63">
                  <c:v>201.11</c:v>
                </c:pt>
                <c:pt idx="64">
                  <c:v>261.27</c:v>
                </c:pt>
                <c:pt idx="65">
                  <c:v>307.82</c:v>
                </c:pt>
                <c:pt idx="66">
                  <c:v>333.05</c:v>
                </c:pt>
                <c:pt idx="67">
                  <c:v>455.97</c:v>
                </c:pt>
                <c:pt idx="68">
                  <c:v>242.31</c:v>
                </c:pt>
                <c:pt idx="69">
                  <c:v>344.06</c:v>
                </c:pt>
                <c:pt idx="70">
                  <c:v>144.56</c:v>
                </c:pt>
                <c:pt idx="71">
                  <c:v>441.54</c:v>
                </c:pt>
                <c:pt idx="72">
                  <c:v>114.7</c:v>
                </c:pt>
                <c:pt idx="73">
                  <c:v>257.42</c:v>
                </c:pt>
                <c:pt idx="74">
                  <c:v>305.32</c:v>
                </c:pt>
                <c:pt idx="75">
                  <c:v>258.24</c:v>
                </c:pt>
                <c:pt idx="76">
                  <c:v>441.47</c:v>
                </c:pt>
                <c:pt idx="77">
                  <c:v>172.26</c:v>
                </c:pt>
                <c:pt idx="78">
                  <c:v>500.1</c:v>
                </c:pt>
                <c:pt idx="79">
                  <c:v>581.16</c:v>
                </c:pt>
                <c:pt idx="80">
                  <c:v>271.88</c:v>
                </c:pt>
                <c:pt idx="81">
                  <c:v>400.29</c:v>
                </c:pt>
                <c:pt idx="82">
                  <c:v>177.77</c:v>
                </c:pt>
                <c:pt idx="83">
                  <c:v>406.86</c:v>
                </c:pt>
                <c:pt idx="84">
                  <c:v>526</c:v>
                </c:pt>
                <c:pt idx="85">
                  <c:v>333.97</c:v>
                </c:pt>
                <c:pt idx="86">
                  <c:v>305.8</c:v>
                </c:pt>
                <c:pt idx="87">
                  <c:v>649.79</c:v>
                </c:pt>
                <c:pt idx="88">
                  <c:v>441.53</c:v>
                </c:pt>
                <c:pt idx="89">
                  <c:v>480.51</c:v>
                </c:pt>
                <c:pt idx="90">
                  <c:v>346.99</c:v>
                </c:pt>
                <c:pt idx="91">
                  <c:v>229.23</c:v>
                </c:pt>
                <c:pt idx="92">
                  <c:v>334.84</c:v>
                </c:pt>
                <c:pt idx="93">
                  <c:v>231.79</c:v>
                </c:pt>
                <c:pt idx="94">
                  <c:v>328.54</c:v>
                </c:pt>
                <c:pt idx="95">
                  <c:v>366.99</c:v>
                </c:pt>
                <c:pt idx="96">
                  <c:v>348.96</c:v>
                </c:pt>
                <c:pt idx="97">
                  <c:v>542.62</c:v>
                </c:pt>
                <c:pt idx="98">
                  <c:v>297.69</c:v>
                </c:pt>
                <c:pt idx="99">
                  <c:v>451.1</c:v>
                </c:pt>
                <c:pt idx="100">
                  <c:v>210.95</c:v>
                </c:pt>
                <c:pt idx="101">
                  <c:v>445.59</c:v>
                </c:pt>
                <c:pt idx="102">
                  <c:v>202.82</c:v>
                </c:pt>
                <c:pt idx="103">
                  <c:v>231.32</c:v>
                </c:pt>
                <c:pt idx="104">
                  <c:v>450.29</c:v>
                </c:pt>
                <c:pt idx="105">
                  <c:v>307.72000000000003</c:v>
                </c:pt>
                <c:pt idx="106">
                  <c:v>367.59</c:v>
                </c:pt>
                <c:pt idx="107">
                  <c:v>769.46</c:v>
                </c:pt>
                <c:pt idx="108">
                  <c:v>327.92</c:v>
                </c:pt>
                <c:pt idx="109">
                  <c:v>553.29999999999995</c:v>
                </c:pt>
                <c:pt idx="110">
                  <c:v>352.86</c:v>
                </c:pt>
                <c:pt idx="111">
                  <c:v>313.91000000000003</c:v>
                </c:pt>
                <c:pt idx="112">
                  <c:v>355.1</c:v>
                </c:pt>
                <c:pt idx="113">
                  <c:v>192.76</c:v>
                </c:pt>
                <c:pt idx="114">
                  <c:v>264.44</c:v>
                </c:pt>
                <c:pt idx="115">
                  <c:v>172.21</c:v>
                </c:pt>
                <c:pt idx="116">
                  <c:v>474.66</c:v>
                </c:pt>
                <c:pt idx="117">
                  <c:v>433.58</c:v>
                </c:pt>
                <c:pt idx="118">
                  <c:v>343.6</c:v>
                </c:pt>
                <c:pt idx="119">
                  <c:v>318.3</c:v>
                </c:pt>
                <c:pt idx="120">
                  <c:v>358.41</c:v>
                </c:pt>
                <c:pt idx="121">
                  <c:v>581.5</c:v>
                </c:pt>
                <c:pt idx="122">
                  <c:v>410.9</c:v>
                </c:pt>
                <c:pt idx="123">
                  <c:v>179.51</c:v>
                </c:pt>
                <c:pt idx="124">
                  <c:v>511.14</c:v>
                </c:pt>
                <c:pt idx="125">
                  <c:v>150.18</c:v>
                </c:pt>
                <c:pt idx="126">
                  <c:v>352.65</c:v>
                </c:pt>
                <c:pt idx="127">
                  <c:v>472.62</c:v>
                </c:pt>
                <c:pt idx="128">
                  <c:v>195.33</c:v>
                </c:pt>
                <c:pt idx="129">
                  <c:v>64.63</c:v>
                </c:pt>
                <c:pt idx="130">
                  <c:v>461.12</c:v>
                </c:pt>
                <c:pt idx="131">
                  <c:v>437.11</c:v>
                </c:pt>
                <c:pt idx="132">
                  <c:v>268.97000000000003</c:v>
                </c:pt>
                <c:pt idx="133">
                  <c:v>265.26</c:v>
                </c:pt>
                <c:pt idx="134">
                  <c:v>178.91</c:v>
                </c:pt>
                <c:pt idx="135">
                  <c:v>356.5</c:v>
                </c:pt>
                <c:pt idx="136">
                  <c:v>229.65</c:v>
                </c:pt>
                <c:pt idx="137">
                  <c:v>121.54</c:v>
                </c:pt>
                <c:pt idx="138">
                  <c:v>268</c:v>
                </c:pt>
                <c:pt idx="139">
                  <c:v>426.16</c:v>
                </c:pt>
                <c:pt idx="140">
                  <c:v>316.32</c:v>
                </c:pt>
                <c:pt idx="141">
                  <c:v>492.5</c:v>
                </c:pt>
                <c:pt idx="142">
                  <c:v>232.33</c:v>
                </c:pt>
                <c:pt idx="143">
                  <c:v>165.97</c:v>
                </c:pt>
                <c:pt idx="144">
                  <c:v>675.5</c:v>
                </c:pt>
                <c:pt idx="145">
                  <c:v>134.66</c:v>
                </c:pt>
                <c:pt idx="146">
                  <c:v>487.36</c:v>
                </c:pt>
                <c:pt idx="147">
                  <c:v>314.74</c:v>
                </c:pt>
                <c:pt idx="148">
                  <c:v>111.39</c:v>
                </c:pt>
                <c:pt idx="149">
                  <c:v>318.47000000000003</c:v>
                </c:pt>
                <c:pt idx="150">
                  <c:v>301.75</c:v>
                </c:pt>
                <c:pt idx="151">
                  <c:v>413.36</c:v>
                </c:pt>
                <c:pt idx="152">
                  <c:v>286.68</c:v>
                </c:pt>
                <c:pt idx="153">
                  <c:v>556.30999999999995</c:v>
                </c:pt>
                <c:pt idx="154">
                  <c:v>332.19</c:v>
                </c:pt>
                <c:pt idx="155">
                  <c:v>336.24</c:v>
                </c:pt>
                <c:pt idx="156">
                  <c:v>180.39</c:v>
                </c:pt>
                <c:pt idx="157">
                  <c:v>484.35</c:v>
                </c:pt>
                <c:pt idx="158">
                  <c:v>562.82000000000005</c:v>
                </c:pt>
                <c:pt idx="159">
                  <c:v>447.34</c:v>
                </c:pt>
                <c:pt idx="160">
                  <c:v>649.04999999999995</c:v>
                </c:pt>
                <c:pt idx="161">
                  <c:v>205</c:v>
                </c:pt>
                <c:pt idx="162">
                  <c:v>263.32</c:v>
                </c:pt>
                <c:pt idx="163">
                  <c:v>443.99</c:v>
                </c:pt>
                <c:pt idx="164">
                  <c:v>395.31</c:v>
                </c:pt>
                <c:pt idx="165">
                  <c:v>335.04</c:v>
                </c:pt>
                <c:pt idx="166">
                  <c:v>333.85</c:v>
                </c:pt>
                <c:pt idx="167">
                  <c:v>531.05999999999995</c:v>
                </c:pt>
                <c:pt idx="168">
                  <c:v>232.19</c:v>
                </c:pt>
                <c:pt idx="169">
                  <c:v>223.04</c:v>
                </c:pt>
                <c:pt idx="170">
                  <c:v>422.92</c:v>
                </c:pt>
                <c:pt idx="171">
                  <c:v>257.45</c:v>
                </c:pt>
                <c:pt idx="172">
                  <c:v>380.75</c:v>
                </c:pt>
                <c:pt idx="173">
                  <c:v>225.37</c:v>
                </c:pt>
                <c:pt idx="174">
                  <c:v>582.55999999999995</c:v>
                </c:pt>
                <c:pt idx="175">
                  <c:v>344.91</c:v>
                </c:pt>
                <c:pt idx="176">
                  <c:v>330.79</c:v>
                </c:pt>
                <c:pt idx="177">
                  <c:v>460</c:v>
                </c:pt>
                <c:pt idx="178">
                  <c:v>439.88</c:v>
                </c:pt>
                <c:pt idx="179">
                  <c:v>255.79</c:v>
                </c:pt>
                <c:pt idx="180">
                  <c:v>159.74</c:v>
                </c:pt>
                <c:pt idx="181">
                  <c:v>404.39</c:v>
                </c:pt>
                <c:pt idx="182">
                  <c:v>187.57</c:v>
                </c:pt>
                <c:pt idx="183">
                  <c:v>410.87</c:v>
                </c:pt>
                <c:pt idx="184">
                  <c:v>275.77999999999997</c:v>
                </c:pt>
                <c:pt idx="185">
                  <c:v>746.74</c:v>
                </c:pt>
                <c:pt idx="186">
                  <c:v>310.24</c:v>
                </c:pt>
                <c:pt idx="187">
                  <c:v>341.12</c:v>
                </c:pt>
                <c:pt idx="188">
                  <c:v>91.71</c:v>
                </c:pt>
                <c:pt idx="189">
                  <c:v>331.59</c:v>
                </c:pt>
                <c:pt idx="190">
                  <c:v>381.07</c:v>
                </c:pt>
                <c:pt idx="191">
                  <c:v>255.24</c:v>
                </c:pt>
                <c:pt idx="192">
                  <c:v>692.05</c:v>
                </c:pt>
                <c:pt idx="193">
                  <c:v>344.41</c:v>
                </c:pt>
                <c:pt idx="194">
                  <c:v>397.06</c:v>
                </c:pt>
                <c:pt idx="195">
                  <c:v>586.14</c:v>
                </c:pt>
                <c:pt idx="196">
                  <c:v>333.36</c:v>
                </c:pt>
                <c:pt idx="197">
                  <c:v>245.45</c:v>
                </c:pt>
                <c:pt idx="198">
                  <c:v>379.09</c:v>
                </c:pt>
                <c:pt idx="199">
                  <c:v>440.95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ED-4319-A032-7DE90EDF2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441664"/>
        <c:axId val="63792115"/>
      </c:scatterChart>
      <c:valAx>
        <c:axId val="87441664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3792115"/>
        <c:crosses val="autoZero"/>
        <c:crossBetween val="midCat"/>
      </c:valAx>
      <c:valAx>
        <c:axId val="6379211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Profit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8744166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Sales Histogram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Descriptive_Stats!$C$23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Descriptive_Stats!$B$24:$B$30</c:f>
              <c:strCache>
                <c:ptCount val="7"/>
                <c:pt idx="0">
                  <c:v>0 – 500</c:v>
                </c:pt>
                <c:pt idx="1">
                  <c:v>500 – 750</c:v>
                </c:pt>
                <c:pt idx="2">
                  <c:v>750 – 1,000</c:v>
                </c:pt>
                <c:pt idx="3">
                  <c:v>1,000 – 1,250</c:v>
                </c:pt>
                <c:pt idx="4">
                  <c:v>1,250 – 1,500</c:v>
                </c:pt>
                <c:pt idx="5">
                  <c:v>1,500 – 1,750</c:v>
                </c:pt>
                <c:pt idx="6">
                  <c:v>1,750 – 2,000</c:v>
                </c:pt>
              </c:strCache>
            </c:strRef>
          </c:cat>
          <c:val>
            <c:numRef>
              <c:f>Descriptive_Stats!$C$24:$C$30</c:f>
              <c:numCache>
                <c:formatCode>0</c:formatCode>
                <c:ptCount val="7"/>
                <c:pt idx="0">
                  <c:v>11</c:v>
                </c:pt>
                <c:pt idx="1">
                  <c:v>37</c:v>
                </c:pt>
                <c:pt idx="2">
                  <c:v>58</c:v>
                </c:pt>
                <c:pt idx="3">
                  <c:v>60</c:v>
                </c:pt>
                <c:pt idx="4">
                  <c:v>25</c:v>
                </c:pt>
                <c:pt idx="5">
                  <c:v>8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35-42A3-A14A-D454491D4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axId val="92628494"/>
        <c:axId val="15678237"/>
      </c:barChart>
      <c:catAx>
        <c:axId val="926284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Sales range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5678237"/>
        <c:crosses val="autoZero"/>
        <c:auto val="1"/>
        <c:lblAlgn val="ctr"/>
        <c:lblOffset val="100"/>
        <c:noMultiLvlLbl val="0"/>
      </c:catAx>
      <c:valAx>
        <c:axId val="1567823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26284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Monthly_Growth!$C$5</c:f>
              <c:strCache>
                <c:ptCount val="1"/>
                <c:pt idx="0">
                  <c:v>Sales</c:v>
                </c:pt>
              </c:strCache>
            </c:strRef>
          </c:tx>
          <c:spPr>
            <a:ln w="2808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Monthly_Growth!$A$6:$A$18</c:f>
              <c:numCache>
                <c:formatCode>mmm\-yyyy</c:formatCode>
                <c:ptCount val="13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</c:numCache>
            </c:numRef>
          </c:cat>
          <c:val>
            <c:numRef>
              <c:f>Monthly_Growth!$C$6:$C$18</c:f>
              <c:numCache>
                <c:formatCode>#,##0</c:formatCode>
                <c:ptCount val="13"/>
                <c:pt idx="0">
                  <c:v>19029.96</c:v>
                </c:pt>
                <c:pt idx="1">
                  <c:v>18507.339999999997</c:v>
                </c:pt>
                <c:pt idx="2">
                  <c:v>20187.509999999998</c:v>
                </c:pt>
                <c:pt idx="3">
                  <c:v>11609.039999999999</c:v>
                </c:pt>
                <c:pt idx="4">
                  <c:v>10091.699999999999</c:v>
                </c:pt>
                <c:pt idx="5">
                  <c:v>20533.499999999996</c:v>
                </c:pt>
                <c:pt idx="6">
                  <c:v>14215.240000000002</c:v>
                </c:pt>
                <c:pt idx="7">
                  <c:v>20135.030000000002</c:v>
                </c:pt>
                <c:pt idx="8">
                  <c:v>11120.04</c:v>
                </c:pt>
                <c:pt idx="9">
                  <c:v>14914.650000000001</c:v>
                </c:pt>
                <c:pt idx="10">
                  <c:v>14006.359999999999</c:v>
                </c:pt>
                <c:pt idx="11">
                  <c:v>17655.219999999998</c:v>
                </c:pt>
                <c:pt idx="12">
                  <c:v>3212.17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11-4934-BADC-E1A58B323AEC}"/>
            </c:ext>
          </c:extLst>
        </c:ser>
        <c:ser>
          <c:idx val="1"/>
          <c:order val="1"/>
          <c:tx>
            <c:strRef>
              <c:f>Monthly_Growth!$D$5</c:f>
              <c:strCache>
                <c:ptCount val="1"/>
                <c:pt idx="0">
                  <c:v>Profit</c:v>
                </c:pt>
              </c:strCache>
            </c:strRef>
          </c:tx>
          <c:spPr>
            <a:ln w="28080">
              <a:solidFill>
                <a:srgbClr val="ED7D31"/>
              </a:solidFill>
              <a:round/>
            </a:ln>
          </c:spPr>
          <c:marker>
            <c:symbol val="circle"/>
            <c:size val="6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Monthly_Growth!$A$6:$A$18</c:f>
              <c:numCache>
                <c:formatCode>mmm\-yyyy</c:formatCode>
                <c:ptCount val="13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</c:numCache>
            </c:numRef>
          </c:cat>
          <c:val>
            <c:numRef>
              <c:f>Monthly_Growth!$D$6:$D$18</c:f>
              <c:numCache>
                <c:formatCode>#,##0</c:formatCode>
                <c:ptCount val="13"/>
                <c:pt idx="0">
                  <c:v>6244.01</c:v>
                </c:pt>
                <c:pt idx="1">
                  <c:v>6121.3499999999995</c:v>
                </c:pt>
                <c:pt idx="2">
                  <c:v>6918</c:v>
                </c:pt>
                <c:pt idx="3">
                  <c:v>3743.85</c:v>
                </c:pt>
                <c:pt idx="4">
                  <c:v>3302.84</c:v>
                </c:pt>
                <c:pt idx="5">
                  <c:v>7457.5199999999995</c:v>
                </c:pt>
                <c:pt idx="6">
                  <c:v>4861.7</c:v>
                </c:pt>
                <c:pt idx="7">
                  <c:v>6814.8799999999992</c:v>
                </c:pt>
                <c:pt idx="8">
                  <c:v>3549.99</c:v>
                </c:pt>
                <c:pt idx="9">
                  <c:v>5763.4</c:v>
                </c:pt>
                <c:pt idx="10">
                  <c:v>5039.2299999999996</c:v>
                </c:pt>
                <c:pt idx="11">
                  <c:v>7071.39</c:v>
                </c:pt>
                <c:pt idx="12">
                  <c:v>1398.85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11-4934-BADC-E1A58B323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2254652"/>
        <c:axId val="11440903"/>
      </c:lineChart>
      <c:dateAx>
        <c:axId val="5225465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1440903"/>
        <c:crosses val="autoZero"/>
        <c:auto val="1"/>
        <c:lblOffset val="100"/>
        <c:baseTimeUnit val="months"/>
      </c:dateAx>
      <c:valAx>
        <c:axId val="1144090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225465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Sales by Region and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Pivot_Summary!$B$5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Pivot_Summary!$A$6:$A$10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Pivot_Summary!$B$6:$B$10</c:f>
              <c:numCache>
                <c:formatCode>#,##0</c:formatCode>
                <c:ptCount val="5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0C-40C1-A33C-41B8A473D4F6}"/>
            </c:ext>
          </c:extLst>
        </c:ser>
        <c:ser>
          <c:idx val="1"/>
          <c:order val="1"/>
          <c:tx>
            <c:strRef>
              <c:f>Pivot_Summary!$C$5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Pivot_Summary!$A$6:$A$10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Pivot_Summary!$C$6:$C$10</c:f>
              <c:numCache>
                <c:formatCode>#,##0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0C-40C1-A33C-41B8A473D4F6}"/>
            </c:ext>
          </c:extLst>
        </c:ser>
        <c:ser>
          <c:idx val="2"/>
          <c:order val="2"/>
          <c:tx>
            <c:strRef>
              <c:f>Pivot_Summary!$D$5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Pivot_Summary!$A$6:$A$10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Pivot_Summary!$D$6:$D$10</c:f>
              <c:numCache>
                <c:formatCode>#,##0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0C-40C1-A33C-41B8A473D4F6}"/>
            </c:ext>
          </c:extLst>
        </c:ser>
        <c:ser>
          <c:idx val="3"/>
          <c:order val="3"/>
          <c:tx>
            <c:strRef>
              <c:f>Pivot_Summary!$E$5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Pivot_Summary!$A$6:$A$10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Pivot_Summary!$E$6:$E$10</c:f>
              <c:numCache>
                <c:formatCode>#,##0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0C-40C1-A33C-41B8A473D4F6}"/>
            </c:ext>
          </c:extLst>
        </c:ser>
        <c:ser>
          <c:idx val="4"/>
          <c:order val="4"/>
          <c:tx>
            <c:strRef>
              <c:f>Pivot_Summary!$F$5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rgbClr val="7F7F7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Pivot_Summary!$A$6:$A$10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Pivot_Summary!$F$6:$F$10</c:f>
              <c:numCache>
                <c:formatCode>#,##0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0C-40C1-A33C-41B8A473D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48018"/>
        <c:axId val="63571634"/>
      </c:barChart>
      <c:catAx>
        <c:axId val="62480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3571634"/>
        <c:crosses val="autoZero"/>
        <c:auto val="1"/>
        <c:lblAlgn val="ctr"/>
        <c:lblOffset val="100"/>
        <c:noMultiLvlLbl val="0"/>
      </c:catAx>
      <c:valAx>
        <c:axId val="6357163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24801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5</xdr:col>
      <xdr:colOff>897840</xdr:colOff>
      <xdr:row>32</xdr:row>
      <xdr:rowOff>22320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17</xdr:row>
      <xdr:rowOff>0</xdr:rowOff>
    </xdr:from>
    <xdr:to>
      <xdr:col>11</xdr:col>
      <xdr:colOff>897840</xdr:colOff>
      <xdr:row>32</xdr:row>
      <xdr:rowOff>22320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34</xdr:row>
      <xdr:rowOff>0</xdr:rowOff>
    </xdr:from>
    <xdr:to>
      <xdr:col>5</xdr:col>
      <xdr:colOff>897840</xdr:colOff>
      <xdr:row>49</xdr:row>
      <xdr:rowOff>22320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34</xdr:row>
      <xdr:rowOff>0</xdr:rowOff>
    </xdr:from>
    <xdr:to>
      <xdr:col>11</xdr:col>
      <xdr:colOff>897840</xdr:colOff>
      <xdr:row>49</xdr:row>
      <xdr:rowOff>22320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4</xdr:col>
      <xdr:colOff>574200</xdr:colOff>
      <xdr:row>49</xdr:row>
      <xdr:rowOff>11520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17</xdr:col>
      <xdr:colOff>255960</xdr:colOff>
      <xdr:row>18</xdr:row>
      <xdr:rowOff>1080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0</xdr:rowOff>
    </xdr:from>
    <xdr:to>
      <xdr:col>15</xdr:col>
      <xdr:colOff>255960</xdr:colOff>
      <xdr:row>19</xdr:row>
      <xdr:rowOff>11880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7</xdr:col>
      <xdr:colOff>80640</xdr:colOff>
      <xdr:row>38</xdr:row>
      <xdr:rowOff>11520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6</xdr:col>
      <xdr:colOff>269280</xdr:colOff>
      <xdr:row>51</xdr:row>
      <xdr:rowOff>11520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  <pageSetUpPr fitToPage="1"/>
  </sheetPr>
  <dimension ref="A1:L52"/>
  <sheetViews>
    <sheetView showGridLines="0" tabSelected="1" topLeftCell="A16" zoomScaleNormal="100" workbookViewId="0">
      <selection activeCell="A53" sqref="A53"/>
    </sheetView>
  </sheetViews>
  <sheetFormatPr defaultColWidth="8.6328125" defaultRowHeight="14.5" x14ac:dyDescent="0.35"/>
  <cols>
    <col min="1" max="12" width="14" customWidth="1"/>
  </cols>
  <sheetData>
    <row r="1" spans="1:12" ht="37.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9.5" customHeight="1" x14ac:dyDescent="0.35">
      <c r="A2" s="13" t="str">
        <f ca="1">"Orders from "&amp;TEXT(MIN(Dataset!$H$2:$H$201),"dd mmm yyyy")&amp;" to "&amp;TEXT(MAX(Dataset!$H$2:$H$201),"dd mmm yyyy")&amp;"   |   Last refreshed: "&amp;TEXT(NOW(),"dd mmm yyyy hh:mm:ss")</f>
        <v>Orders from 10 Apr 2024 to 07 Apr 2025   |   Last refreshed: 14 Oct 2026 11:38:36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7.5" customHeight="1" x14ac:dyDescent="0.35"/>
    <row r="4" spans="1:12" ht="19.5" customHeight="1" x14ac:dyDescent="0.35">
      <c r="A4" s="12" t="s">
        <v>1</v>
      </c>
      <c r="B4" s="12"/>
      <c r="C4" s="12" t="s">
        <v>2</v>
      </c>
      <c r="D4" s="12"/>
      <c r="E4" s="12" t="s">
        <v>3</v>
      </c>
      <c r="F4" s="12"/>
      <c r="G4" s="12" t="s">
        <v>4</v>
      </c>
      <c r="H4" s="12"/>
      <c r="I4" s="12" t="s">
        <v>5</v>
      </c>
      <c r="J4" s="12"/>
      <c r="K4" s="12" t="s">
        <v>6</v>
      </c>
      <c r="L4" s="12"/>
    </row>
    <row r="5" spans="1:12" ht="36" customHeight="1" x14ac:dyDescent="0.35">
      <c r="A5" s="11">
        <f>SUM(Dataset!$E$2:$E$201)</f>
        <v>195217.75999999992</v>
      </c>
      <c r="B5" s="11"/>
      <c r="C5" s="11">
        <f>SUM(Dataset!$I$2:$I$201)</f>
        <v>68287.010000000009</v>
      </c>
      <c r="D5" s="11"/>
      <c r="E5" s="10">
        <f>SUM(Dataset!$I$2:$I$201)/SUM(Dataset!$E$2:$E$201)</f>
        <v>0.34979916786259629</v>
      </c>
      <c r="F5" s="10"/>
      <c r="G5" s="9">
        <f>COUNT(Dataset!$E$2:$E$201)</f>
        <v>200</v>
      </c>
      <c r="H5" s="9"/>
      <c r="I5" s="10">
        <f>AVERAGE(Dataset!$G$2:$G$201)</f>
        <v>9.7250000000000003E-2</v>
      </c>
      <c r="J5" s="10"/>
      <c r="K5" s="8" t="str">
        <f>INDEX(Pivot_Summary!$A$6:$A$10,MATCH(MAX(Pivot_Summary!$G$6:$G$10),Pivot_Summary!$G$6:$G$10,0))</f>
        <v>West</v>
      </c>
      <c r="L5" s="8"/>
    </row>
    <row r="6" spans="1:12" ht="18" customHeight="1" x14ac:dyDescent="0.35">
      <c r="A6" s="7" t="str">
        <f>"Avg per order: "&amp;TEXT(AVERAGE(Dataset!$E$2:$E$201),"#,##0")</f>
        <v>Avg per order: 976</v>
      </c>
      <c r="B6" s="7"/>
      <c r="C6" s="7" t="str">
        <f>"Avg per order: "&amp;TEXT(AVERAGE(Dataset!$I$2:$I$201),"#,##0")</f>
        <v>Avg per order: 341</v>
      </c>
      <c r="D6" s="7"/>
      <c r="E6" s="7" t="str">
        <f>"Profit ÷ Sales"</f>
        <v>Profit ÷ Sales</v>
      </c>
      <c r="F6" s="7"/>
      <c r="G6" s="7" t="str">
        <f>COUNTA(Customer_Analysis!$A$10:$A$39)&amp;" customers"</f>
        <v>30 customers</v>
      </c>
      <c r="H6" s="7"/>
      <c r="I6" s="7" t="str">
        <f>"Max "&amp;TEXT(MAX(Dataset!$G$2:$G$201),"0%")&amp;" per order"</f>
        <v>Max 20% per order</v>
      </c>
      <c r="J6" s="7"/>
      <c r="K6" s="7" t="str">
        <f>TEXT(MAX(Pivot_Summary!$H$6:$H$10),"0.0%")&amp;" of total sales"</f>
        <v>22.6% of total sales</v>
      </c>
      <c r="L6" s="7"/>
    </row>
    <row r="7" spans="1:12" ht="9.75" customHeight="1" x14ac:dyDescent="0.35"/>
    <row r="8" spans="1:12" ht="21.75" customHeight="1" x14ac:dyDescent="0.35">
      <c r="A8" s="6" t="s">
        <v>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ht="21.75" customHeight="1" x14ac:dyDescent="0.35">
      <c r="A9" s="5" t="str">
        <f>"1.  Total sales of "&amp;TEXT(SUM(Dataset!$E$2:$E$201),"#,##0")&amp;" produced profit of "&amp;TEXT(SUM(Dataset!$I$2:$I$201),"#,##0")&amp;" ("&amp;TEXT(SUM(Dataset!$I$2:$I$201)/SUM(Dataset!$E$2:$E$201),"0.0%")&amp;" margin) across "&amp;COUNT(Dataset!$E$2:$E$201)&amp;" orders and "&amp;COUNTA(Customer_Analysis!$A$10:$A$39)&amp;" customers."</f>
        <v>1.  Total sales of 195,218 produced profit of 68,287 (35.0% margin) across 200 orders and 30 customers.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ht="21.75" customHeight="1" x14ac:dyDescent="0.35">
      <c r="A10" s="4" t="str">
        <f>"2.  Best region: "&amp;INDEX(Pivot_Summary!$A$6:$A$10,MATCH(MAX(Pivot_Summary!$G$6:$G$10),Pivot_Summary!$G$6:$G$10,0))&amp;" ("&amp;TEXT(MAX(Pivot_Summary!$H$6:$H$10),"0.0%")&amp;" of sales); weakest region: "&amp;INDEX(Pivot_Summary!$A$6:$A$10,MATCH(MIN(Pivot_Summary!$G$6:$G$10),Pivot_Summary!$G$6:$G$10,0))&amp;" ("&amp;TEXT(MIN(Pivot_Summary!$H$6:$H$10),"0.0%")&amp;")."</f>
        <v>2.  Best region: West (22.6% of sales); weakest region: East (16.6%).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21.75" customHeight="1" x14ac:dyDescent="0.35">
      <c r="A11" s="5" t="str">
        <f>"3.  Best product category: "&amp;INDEX(Pivot_Summary!$B$5:$F$5,MATCH(MAX(Pivot_Summary!$B$11:$F$11),Pivot_Summary!$B$11:$F$11,0))&amp;" ("&amp;TEXT(MAX(Pivot_Summary!$B$12:$F$12),"0.0%")&amp;" of sales); weakest: "&amp;INDEX(Pivot_Summary!$B$5:$F$5,MATCH(MIN(Pivot_Summary!$B$11:$F$11),Pivot_Summary!$B$11:$F$11,0))&amp;" ("&amp;TEXT(MIN(Pivot_Summary!$B$12:$F$12),"0.0%")&amp;")."</f>
        <v>3.  Best product category: Books (24.1% of sales); weakest: Office Supplies (14.7%).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21.75" customHeight="1" x14ac:dyDescent="0.35">
      <c r="A12" s="4" t="str">
        <f>"4.  The top 10 customers contribute "&amp;TEXT(SUM(Customer_Analysis!$L$10:$L$19)/SUM(Dataset!$E$2:$E$201),"0.0%")&amp;" of total sales; "&amp;Customer_Analysis!$B$7&amp;" customers are high-value (sales ≥ "&amp;TEXT(Customer_Analysis!$B$6,"#,##0")&amp;"). Leader: "&amp;Customer_Analysis!$K$10&amp;"."</f>
        <v>4.  The top 10 customers contribute 47.3% of total sales; 8 customers are high-value (sales ≥ 8,236). Leader: CUST015.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21.75" customHeight="1" x14ac:dyDescent="0.35">
      <c r="A13" s="5" t="str">
        <f>"5.  Strongest full month: "&amp;TEXT(INDEX(Monthly_Growth!$A$6:$A$17,MATCH(MAX(Monthly_Growth!$C$6:$C$17),Monthly_Growth!$C$6:$C$17,0)),"mmm yyyy")&amp;" ("&amp;TEXT(MAX(Monthly_Growth!$C$6:$C$17),"#,##0")&amp;"); weakest: "&amp;TEXT(INDEX(Monthly_Growth!$A$6:$A$17,MATCH(MIN(Monthly_Growth!$C$6:$C$17),Monthly_Growth!$C$6:$C$17,0)),"mmm yyyy")&amp;" ("&amp;TEXT(MIN(Monthly_Growth!$C$6:$C$17),"#,##0")&amp;"). Latest month is partial."</f>
        <v>5.  Strongest full month: Sep 2024 (20,534); weakest: Aug 2024 (10,092). Latest month is partial.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21.75" customHeight="1" x14ac:dyDescent="0.35">
      <c r="A14" s="4" t="str">
        <f>"6.  Regression: every extra 1 unit of Sales is linked with "&amp;TEXT(Regression!$B$20,"0.000")&amp;" units of Profit (R² = "&amp;TEXT(Regression!$B$6,"0.00")&amp;", "&amp;IF(Regression!$F$13&lt;0.05,"statistically significant","not significant")&amp;")."</f>
        <v>6.  Regression: every extra 1 unit of Sales is linked with 0.351 units of Profit (R² = 0.60, statistically significant).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21.75" customHeight="1" x14ac:dyDescent="0.35">
      <c r="A15" s="5" t="str">
        <f>"7.  What-if: a "&amp;TEXT(What_If!$B$5*100,"+0.0;-0.0;0.0")&amp;" pp change in discount moves total profit by "&amp;TEXT(What_If!$E$14,"+0.0%;-0.0%;0.0%")&amp;" (assuming "&amp;TEXT(What_If!$B$6,"0.0%")&amp;" volume uplift per pp)."</f>
        <v>7.  What-if: a +5.0 pp change in discount moves total profit by -3.4% (assuming 3.0% volume uplift per pp).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9.75" customHeight="1" x14ac:dyDescent="0.35"/>
    <row r="17" spans="1:12" ht="21.75" customHeight="1" x14ac:dyDescent="0.35">
      <c r="A17" s="6" t="s">
        <v>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52" spans="1:12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</sheetData>
  <mergeCells count="30">
    <mergeCell ref="A13:L13"/>
    <mergeCell ref="A14:L14"/>
    <mergeCell ref="A15:L15"/>
    <mergeCell ref="A17:L17"/>
    <mergeCell ref="A52:L52"/>
    <mergeCell ref="A8:L8"/>
    <mergeCell ref="A9:L9"/>
    <mergeCell ref="A10:L10"/>
    <mergeCell ref="A11:L11"/>
    <mergeCell ref="A12:L12"/>
    <mergeCell ref="K5:L5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A1:L1"/>
    <mergeCell ref="A2:L2"/>
    <mergeCell ref="A4:B4"/>
    <mergeCell ref="C4:D4"/>
    <mergeCell ref="E4:F4"/>
    <mergeCell ref="G4:H4"/>
    <mergeCell ref="I4:J4"/>
    <mergeCell ref="K4:L4"/>
  </mergeCells>
  <pageMargins left="0.75" right="0.75" top="1" bottom="1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7F7F"/>
  </sheetPr>
  <dimension ref="A1:Z1000"/>
  <sheetViews>
    <sheetView zoomScaleNormal="100" workbookViewId="0">
      <pane ySplit="1" topLeftCell="A2" activePane="bottomLeft" state="frozen"/>
      <selection pane="bottomLeft"/>
    </sheetView>
  </sheetViews>
  <sheetFormatPr defaultColWidth="14.453125" defaultRowHeight="14.5" x14ac:dyDescent="0.35"/>
  <cols>
    <col min="1" max="1" width="13" customWidth="1"/>
    <col min="2" max="2" width="20" customWidth="1"/>
    <col min="3" max="3" width="11" customWidth="1"/>
    <col min="4" max="4" width="18" customWidth="1"/>
    <col min="5" max="5" width="12" customWidth="1"/>
    <col min="6" max="7" width="10" customWidth="1"/>
    <col min="8" max="8" width="14" customWidth="1"/>
    <col min="9" max="9" width="12" customWidth="1"/>
    <col min="10" max="26" width="22" customWidth="1"/>
  </cols>
  <sheetData>
    <row r="1" spans="1:26" ht="24" customHeight="1" x14ac:dyDescent="0.35">
      <c r="A1" s="15" t="s">
        <v>9</v>
      </c>
      <c r="B1" s="15" t="s">
        <v>10</v>
      </c>
      <c r="C1" s="15" t="s">
        <v>11</v>
      </c>
      <c r="D1" s="15" t="s">
        <v>12</v>
      </c>
      <c r="E1" s="15" t="s">
        <v>13</v>
      </c>
      <c r="F1" s="15" t="s">
        <v>14</v>
      </c>
      <c r="G1" s="15" t="s">
        <v>15</v>
      </c>
      <c r="H1" s="15" t="s">
        <v>16</v>
      </c>
      <c r="I1" s="15" t="s">
        <v>17</v>
      </c>
      <c r="J1" s="15" t="s">
        <v>18</v>
      </c>
      <c r="K1" s="16"/>
      <c r="L1" s="17" t="s">
        <v>19</v>
      </c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x14ac:dyDescent="0.35">
      <c r="A2" s="18" t="s">
        <v>20</v>
      </c>
      <c r="B2" s="18" t="s">
        <v>21</v>
      </c>
      <c r="C2" s="18" t="s">
        <v>22</v>
      </c>
      <c r="D2" s="18" t="s">
        <v>23</v>
      </c>
      <c r="E2" s="19">
        <v>1036.0899999999999</v>
      </c>
      <c r="F2" s="20">
        <v>4</v>
      </c>
      <c r="G2" s="21">
        <v>0.2</v>
      </c>
      <c r="H2" s="22">
        <v>45392</v>
      </c>
      <c r="I2" s="19">
        <v>331.55</v>
      </c>
      <c r="J2" s="23">
        <f t="shared" ref="J2:J33" ca="1" si="0">NOW()</f>
        <v>46309.485141898149</v>
      </c>
    </row>
    <row r="3" spans="1:26" x14ac:dyDescent="0.35">
      <c r="A3" s="18" t="s">
        <v>24</v>
      </c>
      <c r="B3" s="18" t="s">
        <v>25</v>
      </c>
      <c r="C3" s="18" t="s">
        <v>22</v>
      </c>
      <c r="D3" s="18" t="s">
        <v>26</v>
      </c>
      <c r="E3" s="19">
        <v>1101.28</v>
      </c>
      <c r="F3" s="20">
        <v>3</v>
      </c>
      <c r="G3" s="21">
        <v>0.2</v>
      </c>
      <c r="H3" s="22">
        <v>45393</v>
      </c>
      <c r="I3" s="19">
        <v>440.51</v>
      </c>
      <c r="J3" s="23">
        <f t="shared" ca="1" si="0"/>
        <v>46309.485141898149</v>
      </c>
    </row>
    <row r="4" spans="1:26" x14ac:dyDescent="0.35">
      <c r="A4" s="18" t="s">
        <v>27</v>
      </c>
      <c r="B4" s="18" t="s">
        <v>28</v>
      </c>
      <c r="C4" s="18" t="s">
        <v>29</v>
      </c>
      <c r="D4" s="18" t="s">
        <v>23</v>
      </c>
      <c r="E4" s="19">
        <v>713.34</v>
      </c>
      <c r="F4" s="20">
        <v>17</v>
      </c>
      <c r="G4" s="21">
        <v>0</v>
      </c>
      <c r="H4" s="22">
        <v>45396</v>
      </c>
      <c r="I4" s="19">
        <v>285.33999999999997</v>
      </c>
      <c r="J4" s="23">
        <f t="shared" ca="1" si="0"/>
        <v>46309.485141898149</v>
      </c>
    </row>
    <row r="5" spans="1:26" x14ac:dyDescent="0.35">
      <c r="A5" s="18" t="s">
        <v>30</v>
      </c>
      <c r="B5" s="18" t="s">
        <v>25</v>
      </c>
      <c r="C5" s="18" t="s">
        <v>31</v>
      </c>
      <c r="D5" s="18" t="s">
        <v>32</v>
      </c>
      <c r="E5" s="19">
        <v>760.93</v>
      </c>
      <c r="F5" s="20">
        <v>4</v>
      </c>
      <c r="G5" s="21">
        <v>0.15</v>
      </c>
      <c r="H5" s="22">
        <v>45396</v>
      </c>
      <c r="I5" s="19">
        <v>161.69999999999999</v>
      </c>
      <c r="J5" s="23">
        <f t="shared" ca="1" si="0"/>
        <v>46309.485141898149</v>
      </c>
    </row>
    <row r="6" spans="1:26" x14ac:dyDescent="0.35">
      <c r="A6" s="18" t="s">
        <v>33</v>
      </c>
      <c r="B6" s="18" t="s">
        <v>34</v>
      </c>
      <c r="C6" s="18" t="s">
        <v>35</v>
      </c>
      <c r="D6" s="18" t="s">
        <v>23</v>
      </c>
      <c r="E6" s="19">
        <v>847</v>
      </c>
      <c r="F6" s="20">
        <v>12</v>
      </c>
      <c r="G6" s="21">
        <v>0.2</v>
      </c>
      <c r="H6" s="22">
        <v>45397</v>
      </c>
      <c r="I6" s="19">
        <v>271.04000000000002</v>
      </c>
      <c r="J6" s="23">
        <f t="shared" ca="1" si="0"/>
        <v>46309.485141898149</v>
      </c>
    </row>
    <row r="7" spans="1:26" x14ac:dyDescent="0.35">
      <c r="A7" s="18" t="s">
        <v>36</v>
      </c>
      <c r="B7" s="18" t="s">
        <v>37</v>
      </c>
      <c r="C7" s="18" t="s">
        <v>35</v>
      </c>
      <c r="D7" s="18" t="s">
        <v>38</v>
      </c>
      <c r="E7" s="19">
        <v>965.64</v>
      </c>
      <c r="F7" s="20">
        <v>8</v>
      </c>
      <c r="G7" s="21">
        <v>0.1</v>
      </c>
      <c r="H7" s="22">
        <v>45398</v>
      </c>
      <c r="I7" s="19">
        <v>304.18</v>
      </c>
      <c r="J7" s="23">
        <f t="shared" ca="1" si="0"/>
        <v>46309.485141898149</v>
      </c>
    </row>
    <row r="8" spans="1:26" x14ac:dyDescent="0.35">
      <c r="A8" s="18" t="s">
        <v>39</v>
      </c>
      <c r="B8" s="18" t="s">
        <v>40</v>
      </c>
      <c r="C8" s="18" t="s">
        <v>22</v>
      </c>
      <c r="D8" s="18" t="s">
        <v>32</v>
      </c>
      <c r="E8" s="19">
        <v>1317.53</v>
      </c>
      <c r="F8" s="20">
        <v>12</v>
      </c>
      <c r="G8" s="21">
        <v>0.05</v>
      </c>
      <c r="H8" s="22">
        <v>45398</v>
      </c>
      <c r="I8" s="19">
        <v>312.91000000000003</v>
      </c>
      <c r="J8" s="23">
        <f t="shared" ca="1" si="0"/>
        <v>46309.485141898149</v>
      </c>
    </row>
    <row r="9" spans="1:26" x14ac:dyDescent="0.35">
      <c r="A9" s="18" t="s">
        <v>41</v>
      </c>
      <c r="B9" s="18" t="s">
        <v>42</v>
      </c>
      <c r="C9" s="18" t="s">
        <v>29</v>
      </c>
      <c r="D9" s="18" t="s">
        <v>38</v>
      </c>
      <c r="E9" s="19">
        <v>1074.47</v>
      </c>
      <c r="F9" s="20">
        <v>6</v>
      </c>
      <c r="G9" s="21">
        <v>0.2</v>
      </c>
      <c r="H9" s="22">
        <v>45401</v>
      </c>
      <c r="I9" s="19">
        <v>300.85000000000002</v>
      </c>
      <c r="J9" s="23">
        <f t="shared" ca="1" si="0"/>
        <v>46309.485141898149</v>
      </c>
    </row>
    <row r="10" spans="1:26" x14ac:dyDescent="0.35">
      <c r="A10" s="18" t="s">
        <v>43</v>
      </c>
      <c r="B10" s="18" t="s">
        <v>44</v>
      </c>
      <c r="C10" s="18" t="s">
        <v>45</v>
      </c>
      <c r="D10" s="18" t="s">
        <v>23</v>
      </c>
      <c r="E10" s="19">
        <v>501.54</v>
      </c>
      <c r="F10" s="20">
        <v>11</v>
      </c>
      <c r="G10" s="21">
        <v>0.05</v>
      </c>
      <c r="H10" s="22">
        <v>45401</v>
      </c>
      <c r="I10" s="19">
        <v>190.59</v>
      </c>
      <c r="J10" s="23">
        <f t="shared" ca="1" si="0"/>
        <v>46309.485141898149</v>
      </c>
    </row>
    <row r="11" spans="1:26" x14ac:dyDescent="0.35">
      <c r="A11" s="18" t="s">
        <v>46</v>
      </c>
      <c r="B11" s="18" t="s">
        <v>47</v>
      </c>
      <c r="C11" s="18" t="s">
        <v>45</v>
      </c>
      <c r="D11" s="18" t="s">
        <v>26</v>
      </c>
      <c r="E11" s="19">
        <v>737.31</v>
      </c>
      <c r="F11" s="20">
        <v>2</v>
      </c>
      <c r="G11" s="21">
        <v>0.05</v>
      </c>
      <c r="H11" s="22">
        <v>45401</v>
      </c>
      <c r="I11" s="19">
        <v>350.22</v>
      </c>
      <c r="J11" s="23">
        <f t="shared" ca="1" si="0"/>
        <v>46309.485141898149</v>
      </c>
    </row>
    <row r="12" spans="1:26" x14ac:dyDescent="0.35">
      <c r="A12" s="18" t="s">
        <v>48</v>
      </c>
      <c r="B12" s="18" t="s">
        <v>49</v>
      </c>
      <c r="C12" s="18" t="s">
        <v>22</v>
      </c>
      <c r="D12" s="18" t="s">
        <v>50</v>
      </c>
      <c r="E12" s="19">
        <v>1572.82</v>
      </c>
      <c r="F12" s="20">
        <v>6</v>
      </c>
      <c r="G12" s="21">
        <v>0.05</v>
      </c>
      <c r="H12" s="22">
        <v>45402</v>
      </c>
      <c r="I12" s="19">
        <v>672.38</v>
      </c>
      <c r="J12" s="23">
        <f t="shared" ca="1" si="0"/>
        <v>46309.485141898149</v>
      </c>
    </row>
    <row r="13" spans="1:26" x14ac:dyDescent="0.35">
      <c r="A13" s="18" t="s">
        <v>48</v>
      </c>
      <c r="B13" s="18" t="s">
        <v>47</v>
      </c>
      <c r="C13" s="18" t="s">
        <v>45</v>
      </c>
      <c r="D13" s="18" t="s">
        <v>23</v>
      </c>
      <c r="E13" s="19">
        <v>1343.13</v>
      </c>
      <c r="F13" s="20">
        <v>14</v>
      </c>
      <c r="G13" s="21">
        <v>0.15</v>
      </c>
      <c r="H13" s="22">
        <v>45404</v>
      </c>
      <c r="I13" s="19">
        <v>456.66</v>
      </c>
      <c r="J13" s="23">
        <f t="shared" ca="1" si="0"/>
        <v>46309.485141898149</v>
      </c>
    </row>
    <row r="14" spans="1:26" x14ac:dyDescent="0.35">
      <c r="A14" s="18" t="s">
        <v>36</v>
      </c>
      <c r="B14" s="18" t="s">
        <v>37</v>
      </c>
      <c r="C14" s="18" t="s">
        <v>45</v>
      </c>
      <c r="D14" s="18" t="s">
        <v>23</v>
      </c>
      <c r="E14" s="19">
        <v>1191.58</v>
      </c>
      <c r="F14" s="20">
        <v>14</v>
      </c>
      <c r="G14" s="21">
        <v>0.05</v>
      </c>
      <c r="H14" s="22">
        <v>45406</v>
      </c>
      <c r="I14" s="19">
        <v>452.8</v>
      </c>
      <c r="J14" s="23">
        <f t="shared" ca="1" si="0"/>
        <v>46309.485141898149</v>
      </c>
    </row>
    <row r="15" spans="1:26" x14ac:dyDescent="0.35">
      <c r="A15" s="18" t="s">
        <v>51</v>
      </c>
      <c r="B15" s="18" t="s">
        <v>25</v>
      </c>
      <c r="C15" s="18" t="s">
        <v>22</v>
      </c>
      <c r="D15" s="18" t="s">
        <v>38</v>
      </c>
      <c r="E15" s="19">
        <v>822.28</v>
      </c>
      <c r="F15" s="20">
        <v>7</v>
      </c>
      <c r="G15" s="21">
        <v>0.05</v>
      </c>
      <c r="H15" s="22">
        <v>45406</v>
      </c>
      <c r="I15" s="19">
        <v>273.41000000000003</v>
      </c>
      <c r="J15" s="23">
        <f t="shared" ca="1" si="0"/>
        <v>46309.485141898149</v>
      </c>
    </row>
    <row r="16" spans="1:26" x14ac:dyDescent="0.35">
      <c r="A16" s="18" t="s">
        <v>52</v>
      </c>
      <c r="B16" s="18" t="s">
        <v>53</v>
      </c>
      <c r="C16" s="18" t="s">
        <v>35</v>
      </c>
      <c r="D16" s="18" t="s">
        <v>38</v>
      </c>
      <c r="E16" s="19">
        <v>521.66999999999996</v>
      </c>
      <c r="F16" s="20">
        <v>15</v>
      </c>
      <c r="G16" s="21">
        <v>0.15</v>
      </c>
      <c r="H16" s="22">
        <v>45409</v>
      </c>
      <c r="I16" s="19">
        <v>155.19999999999999</v>
      </c>
      <c r="J16" s="23">
        <f t="shared" ca="1" si="0"/>
        <v>46309.485141898149</v>
      </c>
    </row>
    <row r="17" spans="1:10" x14ac:dyDescent="0.35">
      <c r="A17" s="18" t="s">
        <v>30</v>
      </c>
      <c r="B17" s="18" t="s">
        <v>54</v>
      </c>
      <c r="C17" s="18" t="s">
        <v>31</v>
      </c>
      <c r="D17" s="18" t="s">
        <v>32</v>
      </c>
      <c r="E17" s="19">
        <v>1502.93</v>
      </c>
      <c r="F17" s="20">
        <v>14</v>
      </c>
      <c r="G17" s="21">
        <v>0.2</v>
      </c>
      <c r="H17" s="22">
        <v>45410</v>
      </c>
      <c r="I17" s="19">
        <v>300.58999999999997</v>
      </c>
      <c r="J17" s="23">
        <f t="shared" ca="1" si="0"/>
        <v>46309.485141898149</v>
      </c>
    </row>
    <row r="18" spans="1:10" x14ac:dyDescent="0.35">
      <c r="A18" s="18" t="s">
        <v>55</v>
      </c>
      <c r="B18" s="18" t="s">
        <v>25</v>
      </c>
      <c r="C18" s="18" t="s">
        <v>31</v>
      </c>
      <c r="D18" s="18" t="s">
        <v>23</v>
      </c>
      <c r="E18" s="19">
        <v>877.58</v>
      </c>
      <c r="F18" s="20">
        <v>10</v>
      </c>
      <c r="G18" s="21">
        <v>0.15</v>
      </c>
      <c r="H18" s="22">
        <v>45411</v>
      </c>
      <c r="I18" s="19">
        <v>298.38</v>
      </c>
      <c r="J18" s="23">
        <f t="shared" ca="1" si="0"/>
        <v>46309.485141898149</v>
      </c>
    </row>
    <row r="19" spans="1:10" x14ac:dyDescent="0.35">
      <c r="A19" s="18" t="s">
        <v>39</v>
      </c>
      <c r="B19" s="18" t="s">
        <v>56</v>
      </c>
      <c r="C19" s="18" t="s">
        <v>22</v>
      </c>
      <c r="D19" s="18" t="s">
        <v>23</v>
      </c>
      <c r="E19" s="19">
        <v>636.70000000000005</v>
      </c>
      <c r="F19" s="20">
        <v>4</v>
      </c>
      <c r="G19" s="21">
        <v>0.2</v>
      </c>
      <c r="H19" s="22">
        <v>45411</v>
      </c>
      <c r="I19" s="19">
        <v>203.74</v>
      </c>
      <c r="J19" s="23">
        <f t="shared" ca="1" si="0"/>
        <v>46309.485141898149</v>
      </c>
    </row>
    <row r="20" spans="1:10" x14ac:dyDescent="0.35">
      <c r="A20" s="18" t="s">
        <v>57</v>
      </c>
      <c r="B20" s="18" t="s">
        <v>58</v>
      </c>
      <c r="C20" s="18" t="s">
        <v>22</v>
      </c>
      <c r="D20" s="18" t="s">
        <v>23</v>
      </c>
      <c r="E20" s="19">
        <v>1506.14</v>
      </c>
      <c r="F20" s="20">
        <v>13</v>
      </c>
      <c r="G20" s="21">
        <v>0.2</v>
      </c>
      <c r="H20" s="22">
        <v>45412</v>
      </c>
      <c r="I20" s="19">
        <v>481.96</v>
      </c>
      <c r="J20" s="23">
        <f t="shared" ca="1" si="0"/>
        <v>46309.485141898149</v>
      </c>
    </row>
    <row r="21" spans="1:10" ht="15.75" customHeight="1" x14ac:dyDescent="0.35">
      <c r="A21" s="18" t="s">
        <v>41</v>
      </c>
      <c r="B21" s="18" t="s">
        <v>42</v>
      </c>
      <c r="C21" s="18" t="s">
        <v>45</v>
      </c>
      <c r="D21" s="18" t="s">
        <v>32</v>
      </c>
      <c r="E21" s="19">
        <v>645.02</v>
      </c>
      <c r="F21" s="20">
        <v>4</v>
      </c>
      <c r="G21" s="21">
        <v>0</v>
      </c>
      <c r="H21" s="22">
        <v>45414</v>
      </c>
      <c r="I21" s="19">
        <v>161.26</v>
      </c>
      <c r="J21" s="23">
        <f t="shared" ca="1" si="0"/>
        <v>46309.485141898149</v>
      </c>
    </row>
    <row r="22" spans="1:10" ht="15.75" customHeight="1" x14ac:dyDescent="0.35">
      <c r="A22" s="18" t="s">
        <v>36</v>
      </c>
      <c r="B22" s="18" t="s">
        <v>59</v>
      </c>
      <c r="C22" s="18" t="s">
        <v>31</v>
      </c>
      <c r="D22" s="18" t="s">
        <v>26</v>
      </c>
      <c r="E22" s="19">
        <v>953.3</v>
      </c>
      <c r="F22" s="20">
        <v>11</v>
      </c>
      <c r="G22" s="21">
        <v>0</v>
      </c>
      <c r="H22" s="22">
        <v>45415</v>
      </c>
      <c r="I22" s="19">
        <v>476.65</v>
      </c>
      <c r="J22" s="23">
        <f t="shared" ca="1" si="0"/>
        <v>46309.485141898149</v>
      </c>
    </row>
    <row r="23" spans="1:10" ht="15.75" customHeight="1" x14ac:dyDescent="0.35">
      <c r="A23" s="18" t="s">
        <v>60</v>
      </c>
      <c r="B23" s="18" t="s">
        <v>25</v>
      </c>
      <c r="C23" s="18" t="s">
        <v>35</v>
      </c>
      <c r="D23" s="18" t="s">
        <v>32</v>
      </c>
      <c r="E23" s="19">
        <v>388.56</v>
      </c>
      <c r="F23" s="20">
        <v>14</v>
      </c>
      <c r="G23" s="21">
        <v>0.15</v>
      </c>
      <c r="H23" s="22">
        <v>45416</v>
      </c>
      <c r="I23" s="19">
        <v>82.57</v>
      </c>
      <c r="J23" s="23">
        <f t="shared" ca="1" si="0"/>
        <v>46309.485141898149</v>
      </c>
    </row>
    <row r="24" spans="1:10" ht="15.75" customHeight="1" x14ac:dyDescent="0.35">
      <c r="A24" s="18" t="s">
        <v>20</v>
      </c>
      <c r="B24" s="18" t="s">
        <v>42</v>
      </c>
      <c r="C24" s="18" t="s">
        <v>22</v>
      </c>
      <c r="D24" s="18" t="s">
        <v>23</v>
      </c>
      <c r="E24" s="19">
        <v>743.17</v>
      </c>
      <c r="F24" s="20">
        <v>9</v>
      </c>
      <c r="G24" s="21">
        <v>0</v>
      </c>
      <c r="H24" s="22">
        <v>45416</v>
      </c>
      <c r="I24" s="19">
        <v>297.27</v>
      </c>
      <c r="J24" s="23">
        <f t="shared" ca="1" si="0"/>
        <v>46309.485141898149</v>
      </c>
    </row>
    <row r="25" spans="1:10" ht="15.75" customHeight="1" x14ac:dyDescent="0.35">
      <c r="A25" s="18" t="s">
        <v>51</v>
      </c>
      <c r="B25" s="18" t="s">
        <v>42</v>
      </c>
      <c r="C25" s="18" t="s">
        <v>45</v>
      </c>
      <c r="D25" s="18" t="s">
        <v>32</v>
      </c>
      <c r="E25" s="19">
        <v>706.37</v>
      </c>
      <c r="F25" s="20">
        <v>6</v>
      </c>
      <c r="G25" s="21">
        <v>0</v>
      </c>
      <c r="H25" s="22">
        <v>45416</v>
      </c>
      <c r="I25" s="19">
        <v>176.59</v>
      </c>
      <c r="J25" s="23">
        <f t="shared" ca="1" si="0"/>
        <v>46309.485141898149</v>
      </c>
    </row>
    <row r="26" spans="1:10" ht="15.75" customHeight="1" x14ac:dyDescent="0.35">
      <c r="A26" s="18" t="s">
        <v>24</v>
      </c>
      <c r="B26" s="18" t="s">
        <v>42</v>
      </c>
      <c r="C26" s="18" t="s">
        <v>45</v>
      </c>
      <c r="D26" s="18" t="s">
        <v>50</v>
      </c>
      <c r="E26" s="19">
        <v>925.31</v>
      </c>
      <c r="F26" s="20">
        <v>8</v>
      </c>
      <c r="G26" s="21">
        <v>0.1</v>
      </c>
      <c r="H26" s="22">
        <v>45418</v>
      </c>
      <c r="I26" s="19">
        <v>374.75</v>
      </c>
      <c r="J26" s="23">
        <f t="shared" ca="1" si="0"/>
        <v>46309.485141898149</v>
      </c>
    </row>
    <row r="27" spans="1:10" ht="15.75" customHeight="1" x14ac:dyDescent="0.35">
      <c r="A27" s="18" t="s">
        <v>46</v>
      </c>
      <c r="B27" s="18" t="s">
        <v>61</v>
      </c>
      <c r="C27" s="18" t="s">
        <v>31</v>
      </c>
      <c r="D27" s="18" t="s">
        <v>32</v>
      </c>
      <c r="E27" s="19">
        <v>1173.1199999999999</v>
      </c>
      <c r="F27" s="20">
        <v>18</v>
      </c>
      <c r="G27" s="21">
        <v>0</v>
      </c>
      <c r="H27" s="22">
        <v>45418</v>
      </c>
      <c r="I27" s="19">
        <v>293.27999999999997</v>
      </c>
      <c r="J27" s="23">
        <f t="shared" ca="1" si="0"/>
        <v>46309.485141898149</v>
      </c>
    </row>
    <row r="28" spans="1:10" ht="15.75" customHeight="1" x14ac:dyDescent="0.35">
      <c r="A28" s="18" t="s">
        <v>33</v>
      </c>
      <c r="B28" s="18" t="s">
        <v>62</v>
      </c>
      <c r="C28" s="18" t="s">
        <v>35</v>
      </c>
      <c r="D28" s="18" t="s">
        <v>38</v>
      </c>
      <c r="E28" s="19">
        <v>675.54</v>
      </c>
      <c r="F28" s="20">
        <v>17</v>
      </c>
      <c r="G28" s="21">
        <v>0</v>
      </c>
      <c r="H28" s="22">
        <v>45420</v>
      </c>
      <c r="I28" s="19">
        <v>236.44</v>
      </c>
      <c r="J28" s="23">
        <f t="shared" ca="1" si="0"/>
        <v>46309.485141898149</v>
      </c>
    </row>
    <row r="29" spans="1:10" ht="15.75" customHeight="1" x14ac:dyDescent="0.35">
      <c r="A29" s="18" t="s">
        <v>36</v>
      </c>
      <c r="B29" s="18" t="s">
        <v>25</v>
      </c>
      <c r="C29" s="18" t="s">
        <v>45</v>
      </c>
      <c r="D29" s="18" t="s">
        <v>23</v>
      </c>
      <c r="E29" s="19">
        <v>939.09</v>
      </c>
      <c r="F29" s="20">
        <v>2</v>
      </c>
      <c r="G29" s="21">
        <v>0.05</v>
      </c>
      <c r="H29" s="22">
        <v>45422</v>
      </c>
      <c r="I29" s="19">
        <v>356.85</v>
      </c>
      <c r="J29" s="23">
        <f t="shared" ca="1" si="0"/>
        <v>46309.485141898149</v>
      </c>
    </row>
    <row r="30" spans="1:10" ht="15.75" customHeight="1" x14ac:dyDescent="0.35">
      <c r="A30" s="18" t="s">
        <v>63</v>
      </c>
      <c r="B30" s="18" t="s">
        <v>64</v>
      </c>
      <c r="C30" s="18" t="s">
        <v>29</v>
      </c>
      <c r="D30" s="18" t="s">
        <v>50</v>
      </c>
      <c r="E30" s="19">
        <v>983.34</v>
      </c>
      <c r="F30" s="20">
        <v>19</v>
      </c>
      <c r="G30" s="21">
        <v>0.1</v>
      </c>
      <c r="H30" s="22">
        <v>45426</v>
      </c>
      <c r="I30" s="19">
        <v>398.25</v>
      </c>
      <c r="J30" s="23">
        <f t="shared" ca="1" si="0"/>
        <v>46309.485141898149</v>
      </c>
    </row>
    <row r="31" spans="1:10" ht="15.75" customHeight="1" x14ac:dyDescent="0.35">
      <c r="A31" s="18" t="s">
        <v>63</v>
      </c>
      <c r="B31" s="18" t="s">
        <v>34</v>
      </c>
      <c r="C31" s="18" t="s">
        <v>31</v>
      </c>
      <c r="D31" s="18" t="s">
        <v>32</v>
      </c>
      <c r="E31" s="19">
        <v>801.21</v>
      </c>
      <c r="F31" s="20">
        <v>3</v>
      </c>
      <c r="G31" s="21">
        <v>0.2</v>
      </c>
      <c r="H31" s="22">
        <v>45426</v>
      </c>
      <c r="I31" s="19">
        <v>160.24</v>
      </c>
      <c r="J31" s="23">
        <f t="shared" ca="1" si="0"/>
        <v>46309.485141898149</v>
      </c>
    </row>
    <row r="32" spans="1:10" ht="15.75" customHeight="1" x14ac:dyDescent="0.35">
      <c r="A32" s="18" t="s">
        <v>65</v>
      </c>
      <c r="B32" s="18" t="s">
        <v>66</v>
      </c>
      <c r="C32" s="18" t="s">
        <v>35</v>
      </c>
      <c r="D32" s="18" t="s">
        <v>32</v>
      </c>
      <c r="E32" s="19">
        <v>1450.71</v>
      </c>
      <c r="F32" s="20">
        <v>5</v>
      </c>
      <c r="G32" s="21">
        <v>0.1</v>
      </c>
      <c r="H32" s="22">
        <v>45427</v>
      </c>
      <c r="I32" s="19">
        <v>326.41000000000003</v>
      </c>
      <c r="J32" s="23">
        <f t="shared" ca="1" si="0"/>
        <v>46309.485141898149</v>
      </c>
    </row>
    <row r="33" spans="1:10" ht="15.75" customHeight="1" x14ac:dyDescent="0.35">
      <c r="A33" s="18" t="s">
        <v>60</v>
      </c>
      <c r="B33" s="18" t="s">
        <v>67</v>
      </c>
      <c r="C33" s="18" t="s">
        <v>45</v>
      </c>
      <c r="D33" s="18" t="s">
        <v>23</v>
      </c>
      <c r="E33" s="19">
        <v>1023.21</v>
      </c>
      <c r="F33" s="20">
        <v>18</v>
      </c>
      <c r="G33" s="21">
        <v>0.05</v>
      </c>
      <c r="H33" s="22">
        <v>45428</v>
      </c>
      <c r="I33" s="19">
        <v>388.82</v>
      </c>
      <c r="J33" s="23">
        <f t="shared" ca="1" si="0"/>
        <v>46309.485141898149</v>
      </c>
    </row>
    <row r="34" spans="1:10" ht="15.75" customHeight="1" x14ac:dyDescent="0.35">
      <c r="A34" s="18" t="s">
        <v>39</v>
      </c>
      <c r="B34" s="18" t="s">
        <v>58</v>
      </c>
      <c r="C34" s="18" t="s">
        <v>22</v>
      </c>
      <c r="D34" s="18" t="s">
        <v>38</v>
      </c>
      <c r="E34" s="19">
        <v>853.72</v>
      </c>
      <c r="F34" s="20">
        <v>5</v>
      </c>
      <c r="G34" s="21">
        <v>0.15</v>
      </c>
      <c r="H34" s="22">
        <v>45428</v>
      </c>
      <c r="I34" s="19">
        <v>253.98</v>
      </c>
      <c r="J34" s="23">
        <f t="shared" ref="J34:J65" ca="1" si="1">NOW()</f>
        <v>46309.485141898149</v>
      </c>
    </row>
    <row r="35" spans="1:10" ht="15.75" customHeight="1" x14ac:dyDescent="0.35">
      <c r="A35" s="18" t="s">
        <v>68</v>
      </c>
      <c r="B35" s="18" t="s">
        <v>54</v>
      </c>
      <c r="C35" s="18" t="s">
        <v>31</v>
      </c>
      <c r="D35" s="18" t="s">
        <v>32</v>
      </c>
      <c r="E35" s="19">
        <v>967.89</v>
      </c>
      <c r="F35" s="20">
        <v>10</v>
      </c>
      <c r="G35" s="21">
        <v>0.1</v>
      </c>
      <c r="H35" s="22">
        <v>45429</v>
      </c>
      <c r="I35" s="19">
        <v>217.78</v>
      </c>
      <c r="J35" s="23">
        <f t="shared" ca="1" si="1"/>
        <v>46309.485141898149</v>
      </c>
    </row>
    <row r="36" spans="1:10" ht="15.75" customHeight="1" x14ac:dyDescent="0.35">
      <c r="A36" s="18" t="s">
        <v>69</v>
      </c>
      <c r="B36" s="18" t="s">
        <v>64</v>
      </c>
      <c r="C36" s="18" t="s">
        <v>35</v>
      </c>
      <c r="D36" s="18" t="s">
        <v>50</v>
      </c>
      <c r="E36" s="19">
        <v>1200.9000000000001</v>
      </c>
      <c r="F36" s="20">
        <v>14</v>
      </c>
      <c r="G36" s="21">
        <v>0.05</v>
      </c>
      <c r="H36" s="22">
        <v>45429</v>
      </c>
      <c r="I36" s="19">
        <v>513.38</v>
      </c>
      <c r="J36" s="23">
        <f t="shared" ca="1" si="1"/>
        <v>46309.485141898149</v>
      </c>
    </row>
    <row r="37" spans="1:10" ht="15.75" customHeight="1" x14ac:dyDescent="0.35">
      <c r="A37" s="18" t="s">
        <v>24</v>
      </c>
      <c r="B37" s="18" t="s">
        <v>37</v>
      </c>
      <c r="C37" s="18" t="s">
        <v>22</v>
      </c>
      <c r="D37" s="18" t="s">
        <v>23</v>
      </c>
      <c r="E37" s="19">
        <v>472.38</v>
      </c>
      <c r="F37" s="20">
        <v>12</v>
      </c>
      <c r="G37" s="21">
        <v>0.2</v>
      </c>
      <c r="H37" s="22">
        <v>45429</v>
      </c>
      <c r="I37" s="19">
        <v>151.16</v>
      </c>
      <c r="J37" s="23">
        <f t="shared" ca="1" si="1"/>
        <v>46309.485141898149</v>
      </c>
    </row>
    <row r="38" spans="1:10" ht="15.75" customHeight="1" x14ac:dyDescent="0.35">
      <c r="A38" s="18" t="s">
        <v>20</v>
      </c>
      <c r="B38" s="18" t="s">
        <v>66</v>
      </c>
      <c r="C38" s="18" t="s">
        <v>29</v>
      </c>
      <c r="D38" s="18" t="s">
        <v>50</v>
      </c>
      <c r="E38" s="19">
        <v>840.92</v>
      </c>
      <c r="F38" s="20">
        <v>9</v>
      </c>
      <c r="G38" s="21">
        <v>0.05</v>
      </c>
      <c r="H38" s="22">
        <v>45429</v>
      </c>
      <c r="I38" s="19">
        <v>359.49</v>
      </c>
      <c r="J38" s="23">
        <f t="shared" ca="1" si="1"/>
        <v>46309.485141898149</v>
      </c>
    </row>
    <row r="39" spans="1:10" ht="15.75" customHeight="1" x14ac:dyDescent="0.35">
      <c r="A39" s="18" t="s">
        <v>63</v>
      </c>
      <c r="B39" s="18" t="s">
        <v>59</v>
      </c>
      <c r="C39" s="18" t="s">
        <v>45</v>
      </c>
      <c r="D39" s="18" t="s">
        <v>38</v>
      </c>
      <c r="E39" s="19">
        <v>1410.06</v>
      </c>
      <c r="F39" s="20">
        <v>11</v>
      </c>
      <c r="G39" s="21">
        <v>0.05</v>
      </c>
      <c r="H39" s="22">
        <v>45434</v>
      </c>
      <c r="I39" s="19">
        <v>468.84</v>
      </c>
      <c r="J39" s="23">
        <f t="shared" ca="1" si="1"/>
        <v>46309.485141898149</v>
      </c>
    </row>
    <row r="40" spans="1:10" ht="15.75" customHeight="1" x14ac:dyDescent="0.35">
      <c r="A40" s="18" t="s">
        <v>55</v>
      </c>
      <c r="B40" s="18" t="s">
        <v>70</v>
      </c>
      <c r="C40" s="18" t="s">
        <v>45</v>
      </c>
      <c r="D40" s="18" t="s">
        <v>38</v>
      </c>
      <c r="E40" s="19">
        <v>773.09</v>
      </c>
      <c r="F40" s="20">
        <v>13</v>
      </c>
      <c r="G40" s="21">
        <v>0.15</v>
      </c>
      <c r="H40" s="22">
        <v>45434</v>
      </c>
      <c r="I40" s="19">
        <v>229.99</v>
      </c>
      <c r="J40" s="23">
        <f t="shared" ca="1" si="1"/>
        <v>46309.485141898149</v>
      </c>
    </row>
    <row r="41" spans="1:10" ht="15.75" customHeight="1" x14ac:dyDescent="0.35">
      <c r="A41" s="18" t="s">
        <v>71</v>
      </c>
      <c r="B41" s="18" t="s">
        <v>72</v>
      </c>
      <c r="C41" s="18" t="s">
        <v>29</v>
      </c>
      <c r="D41" s="18" t="s">
        <v>23</v>
      </c>
      <c r="E41" s="19">
        <v>580.42999999999995</v>
      </c>
      <c r="F41" s="20">
        <v>19</v>
      </c>
      <c r="G41" s="21">
        <v>0.15</v>
      </c>
      <c r="H41" s="22">
        <v>45435</v>
      </c>
      <c r="I41" s="19">
        <v>197.35</v>
      </c>
      <c r="J41" s="23">
        <f t="shared" ca="1" si="1"/>
        <v>46309.485141898149</v>
      </c>
    </row>
    <row r="42" spans="1:10" ht="15.75" customHeight="1" x14ac:dyDescent="0.35">
      <c r="A42" s="18" t="s">
        <v>30</v>
      </c>
      <c r="B42" s="18" t="s">
        <v>53</v>
      </c>
      <c r="C42" s="18" t="s">
        <v>31</v>
      </c>
      <c r="D42" s="18" t="s">
        <v>23</v>
      </c>
      <c r="E42" s="19">
        <v>1151.21</v>
      </c>
      <c r="F42" s="20">
        <v>15</v>
      </c>
      <c r="G42" s="21">
        <v>0.1</v>
      </c>
      <c r="H42" s="22">
        <v>45445</v>
      </c>
      <c r="I42" s="19">
        <v>414.44</v>
      </c>
      <c r="J42" s="23">
        <f t="shared" ca="1" si="1"/>
        <v>46309.485141898149</v>
      </c>
    </row>
    <row r="43" spans="1:10" ht="15.75" customHeight="1" x14ac:dyDescent="0.35">
      <c r="A43" s="18" t="s">
        <v>63</v>
      </c>
      <c r="B43" s="18" t="s">
        <v>34</v>
      </c>
      <c r="C43" s="18" t="s">
        <v>45</v>
      </c>
      <c r="D43" s="18" t="s">
        <v>50</v>
      </c>
      <c r="E43" s="19">
        <v>1025.98</v>
      </c>
      <c r="F43" s="20">
        <v>5</v>
      </c>
      <c r="G43" s="21">
        <v>0.2</v>
      </c>
      <c r="H43" s="22">
        <v>45447</v>
      </c>
      <c r="I43" s="19">
        <v>369.35</v>
      </c>
      <c r="J43" s="23">
        <f t="shared" ca="1" si="1"/>
        <v>46309.485141898149</v>
      </c>
    </row>
    <row r="44" spans="1:10" ht="15.75" customHeight="1" x14ac:dyDescent="0.35">
      <c r="A44" s="18" t="s">
        <v>51</v>
      </c>
      <c r="B44" s="18" t="s">
        <v>67</v>
      </c>
      <c r="C44" s="18" t="s">
        <v>29</v>
      </c>
      <c r="D44" s="18" t="s">
        <v>50</v>
      </c>
      <c r="E44" s="19">
        <v>556.41999999999996</v>
      </c>
      <c r="F44" s="20">
        <v>11</v>
      </c>
      <c r="G44" s="21">
        <v>0.15</v>
      </c>
      <c r="H44" s="22">
        <v>45447</v>
      </c>
      <c r="I44" s="19">
        <v>212.83</v>
      </c>
      <c r="J44" s="23">
        <f t="shared" ca="1" si="1"/>
        <v>46309.485141898149</v>
      </c>
    </row>
    <row r="45" spans="1:10" ht="15.75" customHeight="1" x14ac:dyDescent="0.35">
      <c r="A45" s="18" t="s">
        <v>68</v>
      </c>
      <c r="B45" s="18" t="s">
        <v>34</v>
      </c>
      <c r="C45" s="18" t="s">
        <v>45</v>
      </c>
      <c r="D45" s="18" t="s">
        <v>23</v>
      </c>
      <c r="E45" s="19">
        <v>840.85</v>
      </c>
      <c r="F45" s="20">
        <v>19</v>
      </c>
      <c r="G45" s="21">
        <v>0.1</v>
      </c>
      <c r="H45" s="22">
        <v>45448</v>
      </c>
      <c r="I45" s="19">
        <v>302.70999999999998</v>
      </c>
      <c r="J45" s="23">
        <f t="shared" ca="1" si="1"/>
        <v>46309.485141898149</v>
      </c>
    </row>
    <row r="46" spans="1:10" ht="15.75" customHeight="1" x14ac:dyDescent="0.35">
      <c r="A46" s="18" t="s">
        <v>41</v>
      </c>
      <c r="B46" s="18" t="s">
        <v>72</v>
      </c>
      <c r="C46" s="18" t="s">
        <v>35</v>
      </c>
      <c r="D46" s="18" t="s">
        <v>38</v>
      </c>
      <c r="E46" s="19">
        <v>1227.25</v>
      </c>
      <c r="F46" s="20">
        <v>12</v>
      </c>
      <c r="G46" s="21">
        <v>0.15</v>
      </c>
      <c r="H46" s="22">
        <v>45448</v>
      </c>
      <c r="I46" s="19">
        <v>365.11</v>
      </c>
      <c r="J46" s="23">
        <f t="shared" ca="1" si="1"/>
        <v>46309.485141898149</v>
      </c>
    </row>
    <row r="47" spans="1:10" ht="15.75" customHeight="1" x14ac:dyDescent="0.35">
      <c r="A47" s="18" t="s">
        <v>27</v>
      </c>
      <c r="B47" s="18" t="s">
        <v>73</v>
      </c>
      <c r="C47" s="18" t="s">
        <v>45</v>
      </c>
      <c r="D47" s="18" t="s">
        <v>32</v>
      </c>
      <c r="E47" s="19">
        <v>856.7</v>
      </c>
      <c r="F47" s="20">
        <v>2</v>
      </c>
      <c r="G47" s="21">
        <v>0</v>
      </c>
      <c r="H47" s="22">
        <v>45449</v>
      </c>
      <c r="I47" s="19">
        <v>214.18</v>
      </c>
      <c r="J47" s="23">
        <f t="shared" ca="1" si="1"/>
        <v>46309.485141898149</v>
      </c>
    </row>
    <row r="48" spans="1:10" ht="15.75" customHeight="1" x14ac:dyDescent="0.35">
      <c r="A48" s="18" t="s">
        <v>65</v>
      </c>
      <c r="B48" s="18" t="s">
        <v>67</v>
      </c>
      <c r="C48" s="18" t="s">
        <v>45</v>
      </c>
      <c r="D48" s="18" t="s">
        <v>50</v>
      </c>
      <c r="E48" s="19">
        <v>1225.42</v>
      </c>
      <c r="F48" s="20">
        <v>8</v>
      </c>
      <c r="G48" s="21">
        <v>0.15</v>
      </c>
      <c r="H48" s="22">
        <v>45449</v>
      </c>
      <c r="I48" s="19">
        <v>468.72</v>
      </c>
      <c r="J48" s="23">
        <f t="shared" ca="1" si="1"/>
        <v>46309.485141898149</v>
      </c>
    </row>
    <row r="49" spans="1:10" ht="15.75" customHeight="1" x14ac:dyDescent="0.35">
      <c r="A49" s="18" t="s">
        <v>74</v>
      </c>
      <c r="B49" s="18" t="s">
        <v>42</v>
      </c>
      <c r="C49" s="18" t="s">
        <v>35</v>
      </c>
      <c r="D49" s="18" t="s">
        <v>50</v>
      </c>
      <c r="E49" s="19">
        <v>1001.57</v>
      </c>
      <c r="F49" s="20">
        <v>12</v>
      </c>
      <c r="G49" s="21">
        <v>0</v>
      </c>
      <c r="H49" s="22">
        <v>45450</v>
      </c>
      <c r="I49" s="19">
        <v>450.71</v>
      </c>
      <c r="J49" s="23">
        <f t="shared" ca="1" si="1"/>
        <v>46309.485141898149</v>
      </c>
    </row>
    <row r="50" spans="1:10" ht="15.75" customHeight="1" x14ac:dyDescent="0.35">
      <c r="A50" s="18" t="s">
        <v>68</v>
      </c>
      <c r="B50" s="18" t="s">
        <v>37</v>
      </c>
      <c r="C50" s="18" t="s">
        <v>29</v>
      </c>
      <c r="D50" s="18" t="s">
        <v>38</v>
      </c>
      <c r="E50" s="19">
        <v>1186.8499999999999</v>
      </c>
      <c r="F50" s="20">
        <v>19</v>
      </c>
      <c r="G50" s="21">
        <v>0.2</v>
      </c>
      <c r="H50" s="22">
        <v>45451</v>
      </c>
      <c r="I50" s="19">
        <v>332.32</v>
      </c>
      <c r="J50" s="23">
        <f t="shared" ca="1" si="1"/>
        <v>46309.485141898149</v>
      </c>
    </row>
    <row r="51" spans="1:10" ht="15.75" customHeight="1" x14ac:dyDescent="0.35">
      <c r="A51" s="18" t="s">
        <v>55</v>
      </c>
      <c r="B51" s="18" t="s">
        <v>62</v>
      </c>
      <c r="C51" s="18" t="s">
        <v>31</v>
      </c>
      <c r="D51" s="18" t="s">
        <v>32</v>
      </c>
      <c r="E51" s="19">
        <v>775.45</v>
      </c>
      <c r="F51" s="20">
        <v>6</v>
      </c>
      <c r="G51" s="21">
        <v>0.1</v>
      </c>
      <c r="H51" s="22">
        <v>45457</v>
      </c>
      <c r="I51" s="19">
        <v>174.48</v>
      </c>
      <c r="J51" s="23">
        <f t="shared" ca="1" si="1"/>
        <v>46309.485141898149</v>
      </c>
    </row>
    <row r="52" spans="1:10" ht="15.75" customHeight="1" x14ac:dyDescent="0.35">
      <c r="A52" s="18" t="s">
        <v>36</v>
      </c>
      <c r="B52" s="18" t="s">
        <v>44</v>
      </c>
      <c r="C52" s="18" t="s">
        <v>31</v>
      </c>
      <c r="D52" s="18" t="s">
        <v>32</v>
      </c>
      <c r="E52" s="19">
        <v>1021.47</v>
      </c>
      <c r="F52" s="20">
        <v>6</v>
      </c>
      <c r="G52" s="21">
        <v>0.05</v>
      </c>
      <c r="H52" s="22">
        <v>45461</v>
      </c>
      <c r="I52" s="19">
        <v>242.6</v>
      </c>
      <c r="J52" s="23">
        <f t="shared" ca="1" si="1"/>
        <v>46309.485141898149</v>
      </c>
    </row>
    <row r="53" spans="1:10" ht="15.75" customHeight="1" x14ac:dyDescent="0.35">
      <c r="A53" s="18" t="s">
        <v>69</v>
      </c>
      <c r="B53" s="18" t="s">
        <v>34</v>
      </c>
      <c r="C53" s="18" t="s">
        <v>31</v>
      </c>
      <c r="D53" s="18" t="s">
        <v>26</v>
      </c>
      <c r="E53" s="19">
        <v>1226.6199999999999</v>
      </c>
      <c r="F53" s="20">
        <v>7</v>
      </c>
      <c r="G53" s="21">
        <v>0.1</v>
      </c>
      <c r="H53" s="22">
        <v>45463</v>
      </c>
      <c r="I53" s="19">
        <v>551.98</v>
      </c>
      <c r="J53" s="23">
        <f t="shared" ca="1" si="1"/>
        <v>46309.485141898149</v>
      </c>
    </row>
    <row r="54" spans="1:10" ht="15.75" customHeight="1" x14ac:dyDescent="0.35">
      <c r="A54" s="18" t="s">
        <v>33</v>
      </c>
      <c r="B54" s="18" t="s">
        <v>75</v>
      </c>
      <c r="C54" s="18" t="s">
        <v>31</v>
      </c>
      <c r="D54" s="18" t="s">
        <v>38</v>
      </c>
      <c r="E54" s="19">
        <v>1086.93</v>
      </c>
      <c r="F54" s="20">
        <v>2</v>
      </c>
      <c r="G54" s="21">
        <v>0</v>
      </c>
      <c r="H54" s="22">
        <v>45464</v>
      </c>
      <c r="I54" s="19">
        <v>380.43</v>
      </c>
      <c r="J54" s="23">
        <f t="shared" ca="1" si="1"/>
        <v>46309.485141898149</v>
      </c>
    </row>
    <row r="55" spans="1:10" ht="15.75" customHeight="1" x14ac:dyDescent="0.35">
      <c r="A55" s="18" t="s">
        <v>76</v>
      </c>
      <c r="B55" s="18" t="s">
        <v>59</v>
      </c>
      <c r="C55" s="18" t="s">
        <v>22</v>
      </c>
      <c r="D55" s="18" t="s">
        <v>23</v>
      </c>
      <c r="E55" s="19">
        <v>942.9</v>
      </c>
      <c r="F55" s="20">
        <v>18</v>
      </c>
      <c r="G55" s="21">
        <v>0.1</v>
      </c>
      <c r="H55" s="22">
        <v>45466</v>
      </c>
      <c r="I55" s="19">
        <v>339.44</v>
      </c>
      <c r="J55" s="23">
        <f t="shared" ca="1" si="1"/>
        <v>46309.485141898149</v>
      </c>
    </row>
    <row r="56" spans="1:10" ht="15.75" customHeight="1" x14ac:dyDescent="0.35">
      <c r="A56" s="18" t="s">
        <v>43</v>
      </c>
      <c r="B56" s="18" t="s">
        <v>49</v>
      </c>
      <c r="C56" s="18" t="s">
        <v>35</v>
      </c>
      <c r="D56" s="18" t="s">
        <v>32</v>
      </c>
      <c r="E56" s="19">
        <v>818.8</v>
      </c>
      <c r="F56" s="20">
        <v>15</v>
      </c>
      <c r="G56" s="21">
        <v>0.15</v>
      </c>
      <c r="H56" s="22">
        <v>45468</v>
      </c>
      <c r="I56" s="19">
        <v>173.99</v>
      </c>
      <c r="J56" s="23">
        <f t="shared" ca="1" si="1"/>
        <v>46309.485141898149</v>
      </c>
    </row>
    <row r="57" spans="1:10" ht="15.75" customHeight="1" x14ac:dyDescent="0.35">
      <c r="A57" s="18" t="s">
        <v>30</v>
      </c>
      <c r="B57" s="18" t="s">
        <v>25</v>
      </c>
      <c r="C57" s="18" t="s">
        <v>31</v>
      </c>
      <c r="D57" s="18" t="s">
        <v>38</v>
      </c>
      <c r="E57" s="19">
        <v>919.04</v>
      </c>
      <c r="F57" s="20">
        <v>10</v>
      </c>
      <c r="G57" s="21">
        <v>0.2</v>
      </c>
      <c r="H57" s="22">
        <v>45468</v>
      </c>
      <c r="I57" s="19">
        <v>257.33</v>
      </c>
      <c r="J57" s="23">
        <f t="shared" ca="1" si="1"/>
        <v>46309.485141898149</v>
      </c>
    </row>
    <row r="58" spans="1:10" ht="15.75" customHeight="1" x14ac:dyDescent="0.35">
      <c r="A58" s="18" t="s">
        <v>33</v>
      </c>
      <c r="B58" s="18" t="s">
        <v>77</v>
      </c>
      <c r="C58" s="18" t="s">
        <v>45</v>
      </c>
      <c r="D58" s="18" t="s">
        <v>23</v>
      </c>
      <c r="E58" s="19">
        <v>973.26</v>
      </c>
      <c r="F58" s="20">
        <v>11</v>
      </c>
      <c r="G58" s="21">
        <v>0</v>
      </c>
      <c r="H58" s="22">
        <v>45470</v>
      </c>
      <c r="I58" s="19">
        <v>389.3</v>
      </c>
      <c r="J58" s="23">
        <f t="shared" ca="1" si="1"/>
        <v>46309.485141898149</v>
      </c>
    </row>
    <row r="59" spans="1:10" ht="15.75" customHeight="1" x14ac:dyDescent="0.35">
      <c r="A59" s="18" t="s">
        <v>52</v>
      </c>
      <c r="B59" s="18" t="s">
        <v>75</v>
      </c>
      <c r="C59" s="18" t="s">
        <v>35</v>
      </c>
      <c r="D59" s="18" t="s">
        <v>32</v>
      </c>
      <c r="E59" s="19">
        <v>741.61</v>
      </c>
      <c r="F59" s="20">
        <v>1</v>
      </c>
      <c r="G59" s="21">
        <v>0.2</v>
      </c>
      <c r="H59" s="22">
        <v>45471</v>
      </c>
      <c r="I59" s="19">
        <v>148.32</v>
      </c>
      <c r="J59" s="23">
        <f t="shared" ca="1" si="1"/>
        <v>46309.485141898149</v>
      </c>
    </row>
    <row r="60" spans="1:10" ht="15.75" customHeight="1" x14ac:dyDescent="0.35">
      <c r="A60" s="18" t="s">
        <v>78</v>
      </c>
      <c r="B60" s="18" t="s">
        <v>49</v>
      </c>
      <c r="C60" s="18" t="s">
        <v>35</v>
      </c>
      <c r="D60" s="18" t="s">
        <v>23</v>
      </c>
      <c r="E60" s="19">
        <v>1248.82</v>
      </c>
      <c r="F60" s="20">
        <v>2</v>
      </c>
      <c r="G60" s="21">
        <v>0.1</v>
      </c>
      <c r="H60" s="22">
        <v>45473</v>
      </c>
      <c r="I60" s="19">
        <v>449.58</v>
      </c>
      <c r="J60" s="23">
        <f t="shared" ca="1" si="1"/>
        <v>46309.485141898149</v>
      </c>
    </row>
    <row r="61" spans="1:10" ht="15.75" customHeight="1" x14ac:dyDescent="0.35">
      <c r="A61" s="18" t="s">
        <v>24</v>
      </c>
      <c r="B61" s="18" t="s">
        <v>70</v>
      </c>
      <c r="C61" s="18" t="s">
        <v>22</v>
      </c>
      <c r="D61" s="18" t="s">
        <v>26</v>
      </c>
      <c r="E61" s="19">
        <v>1360.36</v>
      </c>
      <c r="F61" s="20">
        <v>17</v>
      </c>
      <c r="G61" s="21">
        <v>0</v>
      </c>
      <c r="H61" s="22">
        <v>45473</v>
      </c>
      <c r="I61" s="19">
        <v>680.18</v>
      </c>
      <c r="J61" s="23">
        <f t="shared" ca="1" si="1"/>
        <v>46309.485141898149</v>
      </c>
    </row>
    <row r="62" spans="1:10" ht="15.75" customHeight="1" x14ac:dyDescent="0.35">
      <c r="A62" s="18" t="s">
        <v>68</v>
      </c>
      <c r="B62" s="18" t="s">
        <v>42</v>
      </c>
      <c r="C62" s="18" t="s">
        <v>29</v>
      </c>
      <c r="D62" s="18" t="s">
        <v>23</v>
      </c>
      <c r="E62" s="19">
        <v>1383.3</v>
      </c>
      <c r="F62" s="20">
        <v>8</v>
      </c>
      <c r="G62" s="21">
        <v>0.1</v>
      </c>
      <c r="H62" s="22">
        <v>45478</v>
      </c>
      <c r="I62" s="19">
        <v>497.99</v>
      </c>
      <c r="J62" s="23">
        <f t="shared" ca="1" si="1"/>
        <v>46309.485141898149</v>
      </c>
    </row>
    <row r="63" spans="1:10" ht="15.75" customHeight="1" x14ac:dyDescent="0.35">
      <c r="A63" s="18" t="s">
        <v>46</v>
      </c>
      <c r="B63" s="18" t="s">
        <v>66</v>
      </c>
      <c r="C63" s="18" t="s">
        <v>45</v>
      </c>
      <c r="D63" s="18" t="s">
        <v>50</v>
      </c>
      <c r="E63" s="19">
        <v>488.99</v>
      </c>
      <c r="F63" s="20">
        <v>9</v>
      </c>
      <c r="G63" s="21">
        <v>0</v>
      </c>
      <c r="H63" s="22">
        <v>45479</v>
      </c>
      <c r="I63" s="19">
        <v>220.05</v>
      </c>
      <c r="J63" s="23">
        <f t="shared" ca="1" si="1"/>
        <v>46309.485141898149</v>
      </c>
    </row>
    <row r="64" spans="1:10" ht="15.75" customHeight="1" x14ac:dyDescent="0.35">
      <c r="A64" s="18" t="s">
        <v>41</v>
      </c>
      <c r="B64" s="18" t="s">
        <v>42</v>
      </c>
      <c r="C64" s="18" t="s">
        <v>29</v>
      </c>
      <c r="D64" s="18" t="s">
        <v>38</v>
      </c>
      <c r="E64" s="19">
        <v>933.71</v>
      </c>
      <c r="F64" s="20">
        <v>17</v>
      </c>
      <c r="G64" s="21">
        <v>0.1</v>
      </c>
      <c r="H64" s="22">
        <v>45481</v>
      </c>
      <c r="I64" s="19">
        <v>294.12</v>
      </c>
      <c r="J64" s="23">
        <f t="shared" ca="1" si="1"/>
        <v>46309.485141898149</v>
      </c>
    </row>
    <row r="65" spans="1:10" ht="15.75" customHeight="1" x14ac:dyDescent="0.35">
      <c r="A65" s="18" t="s">
        <v>78</v>
      </c>
      <c r="B65" s="18" t="s">
        <v>21</v>
      </c>
      <c r="C65" s="18" t="s">
        <v>22</v>
      </c>
      <c r="D65" s="18" t="s">
        <v>32</v>
      </c>
      <c r="E65" s="19">
        <v>1005.53</v>
      </c>
      <c r="F65" s="20">
        <v>17</v>
      </c>
      <c r="G65" s="21">
        <v>0.2</v>
      </c>
      <c r="H65" s="22">
        <v>45481</v>
      </c>
      <c r="I65" s="19">
        <v>201.11</v>
      </c>
      <c r="J65" s="23">
        <f t="shared" ca="1" si="1"/>
        <v>46309.485141898149</v>
      </c>
    </row>
    <row r="66" spans="1:10" ht="15.75" customHeight="1" x14ac:dyDescent="0.35">
      <c r="A66" s="18" t="s">
        <v>52</v>
      </c>
      <c r="B66" s="18" t="s">
        <v>72</v>
      </c>
      <c r="C66" s="18" t="s">
        <v>31</v>
      </c>
      <c r="D66" s="18" t="s">
        <v>32</v>
      </c>
      <c r="E66" s="19">
        <v>1100.0999999999999</v>
      </c>
      <c r="F66" s="20">
        <v>5</v>
      </c>
      <c r="G66" s="21">
        <v>0.05</v>
      </c>
      <c r="H66" s="22">
        <v>45482</v>
      </c>
      <c r="I66" s="19">
        <v>261.27</v>
      </c>
      <c r="J66" s="23">
        <f t="shared" ref="J66:J97" ca="1" si="2">NOW()</f>
        <v>46309.485141898149</v>
      </c>
    </row>
    <row r="67" spans="1:10" ht="15.75" customHeight="1" x14ac:dyDescent="0.35">
      <c r="A67" s="18" t="s">
        <v>78</v>
      </c>
      <c r="B67" s="18" t="s">
        <v>34</v>
      </c>
      <c r="C67" s="18" t="s">
        <v>35</v>
      </c>
      <c r="D67" s="18" t="s">
        <v>38</v>
      </c>
      <c r="E67" s="19">
        <v>1034.7</v>
      </c>
      <c r="F67" s="20">
        <v>15</v>
      </c>
      <c r="G67" s="21">
        <v>0.15</v>
      </c>
      <c r="H67" s="22">
        <v>45487</v>
      </c>
      <c r="I67" s="19">
        <v>307.82</v>
      </c>
      <c r="J67" s="23">
        <f t="shared" ca="1" si="2"/>
        <v>46309.485141898149</v>
      </c>
    </row>
    <row r="68" spans="1:10" ht="15.75" customHeight="1" x14ac:dyDescent="0.35">
      <c r="A68" s="18" t="s">
        <v>76</v>
      </c>
      <c r="B68" s="18" t="s">
        <v>42</v>
      </c>
      <c r="C68" s="18" t="s">
        <v>31</v>
      </c>
      <c r="D68" s="18" t="s">
        <v>23</v>
      </c>
      <c r="E68" s="19">
        <v>876.44</v>
      </c>
      <c r="F68" s="20">
        <v>12</v>
      </c>
      <c r="G68" s="21">
        <v>0.05</v>
      </c>
      <c r="H68" s="22">
        <v>45488</v>
      </c>
      <c r="I68" s="19">
        <v>333.05</v>
      </c>
      <c r="J68" s="23">
        <f t="shared" ca="1" si="2"/>
        <v>46309.485141898149</v>
      </c>
    </row>
    <row r="69" spans="1:10" ht="15.75" customHeight="1" x14ac:dyDescent="0.35">
      <c r="A69" s="18" t="s">
        <v>79</v>
      </c>
      <c r="B69" s="18" t="s">
        <v>66</v>
      </c>
      <c r="C69" s="18" t="s">
        <v>22</v>
      </c>
      <c r="D69" s="18" t="s">
        <v>38</v>
      </c>
      <c r="E69" s="19">
        <v>1371.34</v>
      </c>
      <c r="F69" s="20">
        <v>5</v>
      </c>
      <c r="G69" s="21">
        <v>0.05</v>
      </c>
      <c r="H69" s="22">
        <v>45488</v>
      </c>
      <c r="I69" s="19">
        <v>455.97</v>
      </c>
      <c r="J69" s="23">
        <f t="shared" ca="1" si="2"/>
        <v>46309.485141898149</v>
      </c>
    </row>
    <row r="70" spans="1:10" ht="15.75" customHeight="1" x14ac:dyDescent="0.35">
      <c r="A70" s="18" t="s">
        <v>68</v>
      </c>
      <c r="B70" s="18" t="s">
        <v>58</v>
      </c>
      <c r="C70" s="18" t="s">
        <v>35</v>
      </c>
      <c r="D70" s="18" t="s">
        <v>32</v>
      </c>
      <c r="E70" s="19">
        <v>1020.26</v>
      </c>
      <c r="F70" s="20">
        <v>11</v>
      </c>
      <c r="G70" s="21">
        <v>0.05</v>
      </c>
      <c r="H70" s="22">
        <v>45494</v>
      </c>
      <c r="I70" s="19">
        <v>242.31</v>
      </c>
      <c r="J70" s="23">
        <f t="shared" ca="1" si="2"/>
        <v>46309.485141898149</v>
      </c>
    </row>
    <row r="71" spans="1:10" ht="15.75" customHeight="1" x14ac:dyDescent="0.35">
      <c r="A71" s="18" t="s">
        <v>55</v>
      </c>
      <c r="B71" s="18" t="s">
        <v>21</v>
      </c>
      <c r="C71" s="18" t="s">
        <v>45</v>
      </c>
      <c r="D71" s="18" t="s">
        <v>50</v>
      </c>
      <c r="E71" s="19">
        <v>804.81</v>
      </c>
      <c r="F71" s="20">
        <v>1</v>
      </c>
      <c r="G71" s="21">
        <v>0.05</v>
      </c>
      <c r="H71" s="22">
        <v>45502</v>
      </c>
      <c r="I71" s="19">
        <v>344.06</v>
      </c>
      <c r="J71" s="23">
        <f t="shared" ca="1" si="2"/>
        <v>46309.485141898149</v>
      </c>
    </row>
    <row r="72" spans="1:10" ht="15.75" customHeight="1" x14ac:dyDescent="0.35">
      <c r="A72" s="18" t="s">
        <v>33</v>
      </c>
      <c r="B72" s="18" t="s">
        <v>66</v>
      </c>
      <c r="C72" s="18" t="s">
        <v>45</v>
      </c>
      <c r="D72" s="18" t="s">
        <v>32</v>
      </c>
      <c r="E72" s="19">
        <v>608.66</v>
      </c>
      <c r="F72" s="20">
        <v>1</v>
      </c>
      <c r="G72" s="21">
        <v>0.05</v>
      </c>
      <c r="H72" s="22">
        <v>45503</v>
      </c>
      <c r="I72" s="19">
        <v>144.56</v>
      </c>
      <c r="J72" s="23">
        <f t="shared" ca="1" si="2"/>
        <v>46309.485141898149</v>
      </c>
    </row>
    <row r="73" spans="1:10" ht="15.75" customHeight="1" x14ac:dyDescent="0.35">
      <c r="A73" s="18" t="s">
        <v>79</v>
      </c>
      <c r="B73" s="18" t="s">
        <v>80</v>
      </c>
      <c r="C73" s="18" t="s">
        <v>31</v>
      </c>
      <c r="D73" s="18" t="s">
        <v>50</v>
      </c>
      <c r="E73" s="19">
        <v>981.2</v>
      </c>
      <c r="F73" s="20">
        <v>19</v>
      </c>
      <c r="G73" s="21">
        <v>0</v>
      </c>
      <c r="H73" s="22">
        <v>45504</v>
      </c>
      <c r="I73" s="19">
        <v>441.54</v>
      </c>
      <c r="J73" s="23">
        <f t="shared" ca="1" si="2"/>
        <v>46309.485141898149</v>
      </c>
    </row>
    <row r="74" spans="1:10" ht="15.75" customHeight="1" x14ac:dyDescent="0.35">
      <c r="A74" s="18" t="s">
        <v>81</v>
      </c>
      <c r="B74" s="18" t="s">
        <v>66</v>
      </c>
      <c r="C74" s="18" t="s">
        <v>29</v>
      </c>
      <c r="D74" s="18" t="s">
        <v>32</v>
      </c>
      <c r="E74" s="19">
        <v>539.77</v>
      </c>
      <c r="F74" s="20">
        <v>10</v>
      </c>
      <c r="G74" s="21">
        <v>0.15</v>
      </c>
      <c r="H74" s="22">
        <v>45509</v>
      </c>
      <c r="I74" s="19">
        <v>114.7</v>
      </c>
      <c r="J74" s="23">
        <f t="shared" ca="1" si="2"/>
        <v>46309.485141898149</v>
      </c>
    </row>
    <row r="75" spans="1:10" ht="15.75" customHeight="1" x14ac:dyDescent="0.35">
      <c r="A75" s="18" t="s">
        <v>24</v>
      </c>
      <c r="B75" s="18" t="s">
        <v>82</v>
      </c>
      <c r="C75" s="18" t="s">
        <v>31</v>
      </c>
      <c r="D75" s="18" t="s">
        <v>23</v>
      </c>
      <c r="E75" s="19">
        <v>804.45</v>
      </c>
      <c r="F75" s="20">
        <v>5</v>
      </c>
      <c r="G75" s="21">
        <v>0.2</v>
      </c>
      <c r="H75" s="22">
        <v>45509</v>
      </c>
      <c r="I75" s="19">
        <v>257.42</v>
      </c>
      <c r="J75" s="23">
        <f t="shared" ca="1" si="2"/>
        <v>46309.485141898149</v>
      </c>
    </row>
    <row r="76" spans="1:10" ht="15.75" customHeight="1" x14ac:dyDescent="0.35">
      <c r="A76" s="18" t="s">
        <v>81</v>
      </c>
      <c r="B76" s="18" t="s">
        <v>49</v>
      </c>
      <c r="C76" s="18" t="s">
        <v>22</v>
      </c>
      <c r="D76" s="18" t="s">
        <v>32</v>
      </c>
      <c r="E76" s="19">
        <v>1526.6</v>
      </c>
      <c r="F76" s="20">
        <v>13</v>
      </c>
      <c r="G76" s="21">
        <v>0.2</v>
      </c>
      <c r="H76" s="22">
        <v>45512</v>
      </c>
      <c r="I76" s="19">
        <v>305.32</v>
      </c>
      <c r="J76" s="23">
        <f t="shared" ca="1" si="2"/>
        <v>46309.485141898149</v>
      </c>
    </row>
    <row r="77" spans="1:10" ht="15.75" customHeight="1" x14ac:dyDescent="0.35">
      <c r="A77" s="18" t="s">
        <v>24</v>
      </c>
      <c r="B77" s="18" t="s">
        <v>40</v>
      </c>
      <c r="C77" s="18" t="s">
        <v>22</v>
      </c>
      <c r="D77" s="18" t="s">
        <v>32</v>
      </c>
      <c r="E77" s="19">
        <v>1215.26</v>
      </c>
      <c r="F77" s="20">
        <v>5</v>
      </c>
      <c r="G77" s="21">
        <v>0.15</v>
      </c>
      <c r="H77" s="22">
        <v>45513</v>
      </c>
      <c r="I77" s="19">
        <v>258.24</v>
      </c>
      <c r="J77" s="23">
        <f t="shared" ca="1" si="2"/>
        <v>46309.485141898149</v>
      </c>
    </row>
    <row r="78" spans="1:10" ht="15.75" customHeight="1" x14ac:dyDescent="0.35">
      <c r="A78" s="18" t="s">
        <v>30</v>
      </c>
      <c r="B78" s="18" t="s">
        <v>64</v>
      </c>
      <c r="C78" s="18" t="s">
        <v>45</v>
      </c>
      <c r="D78" s="18" t="s">
        <v>38</v>
      </c>
      <c r="E78" s="19">
        <v>1261.3399999999999</v>
      </c>
      <c r="F78" s="20">
        <v>3</v>
      </c>
      <c r="G78" s="21">
        <v>0</v>
      </c>
      <c r="H78" s="22">
        <v>45519</v>
      </c>
      <c r="I78" s="19">
        <v>441.47</v>
      </c>
      <c r="J78" s="23">
        <f t="shared" ca="1" si="2"/>
        <v>46309.485141898149</v>
      </c>
    </row>
    <row r="79" spans="1:10" ht="15.75" customHeight="1" x14ac:dyDescent="0.35">
      <c r="A79" s="18" t="s">
        <v>83</v>
      </c>
      <c r="B79" s="18" t="s">
        <v>56</v>
      </c>
      <c r="C79" s="18" t="s">
        <v>35</v>
      </c>
      <c r="D79" s="18" t="s">
        <v>38</v>
      </c>
      <c r="E79" s="19">
        <v>518.07000000000005</v>
      </c>
      <c r="F79" s="20">
        <v>7</v>
      </c>
      <c r="G79" s="21">
        <v>0.05</v>
      </c>
      <c r="H79" s="22">
        <v>45522</v>
      </c>
      <c r="I79" s="19">
        <v>172.26</v>
      </c>
      <c r="J79" s="23">
        <f t="shared" ca="1" si="2"/>
        <v>46309.485141898149</v>
      </c>
    </row>
    <row r="80" spans="1:10" ht="15.75" customHeight="1" x14ac:dyDescent="0.35">
      <c r="A80" s="18" t="s">
        <v>41</v>
      </c>
      <c r="B80" s="18" t="s">
        <v>40</v>
      </c>
      <c r="C80" s="18" t="s">
        <v>22</v>
      </c>
      <c r="D80" s="18" t="s">
        <v>50</v>
      </c>
      <c r="E80" s="19">
        <v>1111.3399999999999</v>
      </c>
      <c r="F80" s="20">
        <v>1</v>
      </c>
      <c r="G80" s="21">
        <v>0</v>
      </c>
      <c r="H80" s="22">
        <v>45523</v>
      </c>
      <c r="I80" s="19">
        <v>500.1</v>
      </c>
      <c r="J80" s="23">
        <f t="shared" ca="1" si="2"/>
        <v>46309.485141898149</v>
      </c>
    </row>
    <row r="81" spans="1:10" ht="15.75" customHeight="1" x14ac:dyDescent="0.35">
      <c r="A81" s="18" t="s">
        <v>33</v>
      </c>
      <c r="B81" s="18" t="s">
        <v>42</v>
      </c>
      <c r="C81" s="18" t="s">
        <v>29</v>
      </c>
      <c r="D81" s="18" t="s">
        <v>26</v>
      </c>
      <c r="E81" s="19">
        <v>1291.47</v>
      </c>
      <c r="F81" s="20">
        <v>18</v>
      </c>
      <c r="G81" s="21">
        <v>0.1</v>
      </c>
      <c r="H81" s="22">
        <v>45526</v>
      </c>
      <c r="I81" s="19">
        <v>581.16</v>
      </c>
      <c r="J81" s="23">
        <f t="shared" ca="1" si="2"/>
        <v>46309.485141898149</v>
      </c>
    </row>
    <row r="82" spans="1:10" ht="15.75" customHeight="1" x14ac:dyDescent="0.35">
      <c r="A82" s="18" t="s">
        <v>36</v>
      </c>
      <c r="B82" s="18" t="s">
        <v>66</v>
      </c>
      <c r="C82" s="18" t="s">
        <v>35</v>
      </c>
      <c r="D82" s="18" t="s">
        <v>23</v>
      </c>
      <c r="E82" s="19">
        <v>679.71</v>
      </c>
      <c r="F82" s="20">
        <v>19</v>
      </c>
      <c r="G82" s="21">
        <v>0</v>
      </c>
      <c r="H82" s="22">
        <v>45534</v>
      </c>
      <c r="I82" s="19">
        <v>271.88</v>
      </c>
      <c r="J82" s="23">
        <f t="shared" ca="1" si="2"/>
        <v>46309.485141898149</v>
      </c>
    </row>
    <row r="83" spans="1:10" ht="15.75" customHeight="1" x14ac:dyDescent="0.35">
      <c r="A83" s="18" t="s">
        <v>79</v>
      </c>
      <c r="B83" s="18" t="s">
        <v>44</v>
      </c>
      <c r="C83" s="18" t="s">
        <v>29</v>
      </c>
      <c r="D83" s="18" t="s">
        <v>38</v>
      </c>
      <c r="E83" s="19">
        <v>1143.69</v>
      </c>
      <c r="F83" s="20">
        <v>17</v>
      </c>
      <c r="G83" s="21">
        <v>0</v>
      </c>
      <c r="H83" s="22">
        <v>45534</v>
      </c>
      <c r="I83" s="19">
        <v>400.29</v>
      </c>
      <c r="J83" s="23">
        <f t="shared" ca="1" si="2"/>
        <v>46309.485141898149</v>
      </c>
    </row>
    <row r="84" spans="1:10" ht="15.75" customHeight="1" x14ac:dyDescent="0.35">
      <c r="A84" s="18" t="s">
        <v>63</v>
      </c>
      <c r="B84" s="18" t="s">
        <v>61</v>
      </c>
      <c r="C84" s="18" t="s">
        <v>45</v>
      </c>
      <c r="D84" s="18" t="s">
        <v>32</v>
      </c>
      <c r="E84" s="19">
        <v>790.08</v>
      </c>
      <c r="F84" s="20">
        <v>7</v>
      </c>
      <c r="G84" s="21">
        <v>0.1</v>
      </c>
      <c r="H84" s="22">
        <v>45536</v>
      </c>
      <c r="I84" s="19">
        <v>177.77</v>
      </c>
      <c r="J84" s="23">
        <f t="shared" ca="1" si="2"/>
        <v>46309.485141898149</v>
      </c>
    </row>
    <row r="85" spans="1:10" ht="15.75" customHeight="1" x14ac:dyDescent="0.35">
      <c r="A85" s="18" t="s">
        <v>30</v>
      </c>
      <c r="B85" s="18" t="s">
        <v>59</v>
      </c>
      <c r="C85" s="18" t="s">
        <v>45</v>
      </c>
      <c r="D85" s="18" t="s">
        <v>23</v>
      </c>
      <c r="E85" s="19">
        <v>1070.68</v>
      </c>
      <c r="F85" s="20">
        <v>7</v>
      </c>
      <c r="G85" s="21">
        <v>0.05</v>
      </c>
      <c r="H85" s="22">
        <v>45536</v>
      </c>
      <c r="I85" s="19">
        <v>406.86</v>
      </c>
      <c r="J85" s="23">
        <f t="shared" ca="1" si="2"/>
        <v>46309.485141898149</v>
      </c>
    </row>
    <row r="86" spans="1:10" ht="15.75" customHeight="1" x14ac:dyDescent="0.35">
      <c r="A86" s="18" t="s">
        <v>69</v>
      </c>
      <c r="B86" s="18" t="s">
        <v>47</v>
      </c>
      <c r="C86" s="18" t="s">
        <v>22</v>
      </c>
      <c r="D86" s="18" t="s">
        <v>26</v>
      </c>
      <c r="E86" s="19">
        <v>1168.8900000000001</v>
      </c>
      <c r="F86" s="20">
        <v>4</v>
      </c>
      <c r="G86" s="21">
        <v>0.1</v>
      </c>
      <c r="H86" s="22">
        <v>45544</v>
      </c>
      <c r="I86" s="19">
        <v>526</v>
      </c>
      <c r="J86" s="23">
        <f t="shared" ca="1" si="2"/>
        <v>46309.485141898149</v>
      </c>
    </row>
    <row r="87" spans="1:10" ht="15.75" customHeight="1" x14ac:dyDescent="0.35">
      <c r="A87" s="18" t="s">
        <v>78</v>
      </c>
      <c r="B87" s="18" t="s">
        <v>21</v>
      </c>
      <c r="C87" s="18" t="s">
        <v>31</v>
      </c>
      <c r="D87" s="18" t="s">
        <v>32</v>
      </c>
      <c r="E87" s="19">
        <v>1335.87</v>
      </c>
      <c r="F87" s="20">
        <v>17</v>
      </c>
      <c r="G87" s="21">
        <v>0</v>
      </c>
      <c r="H87" s="22">
        <v>45544</v>
      </c>
      <c r="I87" s="19">
        <v>333.97</v>
      </c>
      <c r="J87" s="23">
        <f t="shared" ca="1" si="2"/>
        <v>46309.485141898149</v>
      </c>
    </row>
    <row r="88" spans="1:10" ht="15.75" customHeight="1" x14ac:dyDescent="0.35">
      <c r="A88" s="18" t="s">
        <v>51</v>
      </c>
      <c r="B88" s="18" t="s">
        <v>66</v>
      </c>
      <c r="C88" s="18" t="s">
        <v>29</v>
      </c>
      <c r="D88" s="18" t="s">
        <v>38</v>
      </c>
      <c r="E88" s="19">
        <v>873.7</v>
      </c>
      <c r="F88" s="20">
        <v>9</v>
      </c>
      <c r="G88" s="21">
        <v>0</v>
      </c>
      <c r="H88" s="22">
        <v>45546</v>
      </c>
      <c r="I88" s="19">
        <v>305.8</v>
      </c>
      <c r="J88" s="23">
        <f t="shared" ca="1" si="2"/>
        <v>46309.485141898149</v>
      </c>
    </row>
    <row r="89" spans="1:10" ht="15.75" customHeight="1" x14ac:dyDescent="0.35">
      <c r="A89" s="18" t="s">
        <v>83</v>
      </c>
      <c r="B89" s="18" t="s">
        <v>75</v>
      </c>
      <c r="C89" s="18" t="s">
        <v>22</v>
      </c>
      <c r="D89" s="18" t="s">
        <v>50</v>
      </c>
      <c r="E89" s="19">
        <v>1443.98</v>
      </c>
      <c r="F89" s="20">
        <v>19</v>
      </c>
      <c r="G89" s="21">
        <v>0</v>
      </c>
      <c r="H89" s="22">
        <v>45547</v>
      </c>
      <c r="I89" s="19">
        <v>649.79</v>
      </c>
      <c r="J89" s="23">
        <f t="shared" ca="1" si="2"/>
        <v>46309.485141898149</v>
      </c>
    </row>
    <row r="90" spans="1:10" ht="15.75" customHeight="1" x14ac:dyDescent="0.35">
      <c r="A90" s="18" t="s">
        <v>51</v>
      </c>
      <c r="B90" s="18" t="s">
        <v>34</v>
      </c>
      <c r="C90" s="18" t="s">
        <v>29</v>
      </c>
      <c r="D90" s="18" t="s">
        <v>50</v>
      </c>
      <c r="E90" s="19">
        <v>1154.33</v>
      </c>
      <c r="F90" s="20">
        <v>11</v>
      </c>
      <c r="G90" s="21">
        <v>0.15</v>
      </c>
      <c r="H90" s="22">
        <v>45549</v>
      </c>
      <c r="I90" s="19">
        <v>441.53</v>
      </c>
      <c r="J90" s="23">
        <f t="shared" ca="1" si="2"/>
        <v>46309.485141898149</v>
      </c>
    </row>
    <row r="91" spans="1:10" ht="15.75" customHeight="1" x14ac:dyDescent="0.35">
      <c r="A91" s="18" t="s">
        <v>60</v>
      </c>
      <c r="B91" s="18" t="s">
        <v>61</v>
      </c>
      <c r="C91" s="18" t="s">
        <v>31</v>
      </c>
      <c r="D91" s="18" t="s">
        <v>23</v>
      </c>
      <c r="E91" s="19">
        <v>1264.49</v>
      </c>
      <c r="F91" s="20">
        <v>16</v>
      </c>
      <c r="G91" s="21">
        <v>0.05</v>
      </c>
      <c r="H91" s="22">
        <v>45549</v>
      </c>
      <c r="I91" s="19">
        <v>480.51</v>
      </c>
      <c r="J91" s="23">
        <f t="shared" ca="1" si="2"/>
        <v>46309.485141898149</v>
      </c>
    </row>
    <row r="92" spans="1:10" ht="15.75" customHeight="1" x14ac:dyDescent="0.35">
      <c r="A92" s="18" t="s">
        <v>36</v>
      </c>
      <c r="B92" s="18" t="s">
        <v>77</v>
      </c>
      <c r="C92" s="18" t="s">
        <v>22</v>
      </c>
      <c r="D92" s="18" t="s">
        <v>38</v>
      </c>
      <c r="E92" s="19">
        <v>1101.55</v>
      </c>
      <c r="F92" s="20">
        <v>4</v>
      </c>
      <c r="G92" s="21">
        <v>0.1</v>
      </c>
      <c r="H92" s="22">
        <v>45551</v>
      </c>
      <c r="I92" s="19">
        <v>346.99</v>
      </c>
      <c r="J92" s="23">
        <f t="shared" ca="1" si="2"/>
        <v>46309.485141898149</v>
      </c>
    </row>
    <row r="93" spans="1:10" ht="15.75" customHeight="1" x14ac:dyDescent="0.35">
      <c r="A93" s="18" t="s">
        <v>84</v>
      </c>
      <c r="B93" s="18" t="s">
        <v>25</v>
      </c>
      <c r="C93" s="18" t="s">
        <v>31</v>
      </c>
      <c r="D93" s="18" t="s">
        <v>38</v>
      </c>
      <c r="E93" s="19">
        <v>727.73</v>
      </c>
      <c r="F93" s="20">
        <v>1</v>
      </c>
      <c r="G93" s="21">
        <v>0.1</v>
      </c>
      <c r="H93" s="22">
        <v>45552</v>
      </c>
      <c r="I93" s="19">
        <v>229.23</v>
      </c>
      <c r="J93" s="23">
        <f t="shared" ca="1" si="2"/>
        <v>46309.485141898149</v>
      </c>
    </row>
    <row r="94" spans="1:10" ht="15.75" customHeight="1" x14ac:dyDescent="0.35">
      <c r="A94" s="18" t="s">
        <v>85</v>
      </c>
      <c r="B94" s="18" t="s">
        <v>49</v>
      </c>
      <c r="C94" s="18" t="s">
        <v>29</v>
      </c>
      <c r="D94" s="18" t="s">
        <v>50</v>
      </c>
      <c r="E94" s="19">
        <v>875.41</v>
      </c>
      <c r="F94" s="20">
        <v>13</v>
      </c>
      <c r="G94" s="21">
        <v>0.15</v>
      </c>
      <c r="H94" s="22">
        <v>45552</v>
      </c>
      <c r="I94" s="19">
        <v>334.84</v>
      </c>
      <c r="J94" s="23">
        <f t="shared" ca="1" si="2"/>
        <v>46309.485141898149</v>
      </c>
    </row>
    <row r="95" spans="1:10" ht="15.75" customHeight="1" x14ac:dyDescent="0.35">
      <c r="A95" s="18" t="s">
        <v>78</v>
      </c>
      <c r="B95" s="18" t="s">
        <v>34</v>
      </c>
      <c r="C95" s="18" t="s">
        <v>22</v>
      </c>
      <c r="D95" s="18" t="s">
        <v>32</v>
      </c>
      <c r="E95" s="19">
        <v>1158.94</v>
      </c>
      <c r="F95" s="20">
        <v>19</v>
      </c>
      <c r="G95" s="21">
        <v>0.2</v>
      </c>
      <c r="H95" s="22">
        <v>45553</v>
      </c>
      <c r="I95" s="19">
        <v>231.79</v>
      </c>
      <c r="J95" s="23">
        <f t="shared" ca="1" si="2"/>
        <v>46309.485141898149</v>
      </c>
    </row>
    <row r="96" spans="1:10" ht="15.75" customHeight="1" x14ac:dyDescent="0.35">
      <c r="A96" s="18" t="s">
        <v>86</v>
      </c>
      <c r="B96" s="18" t="s">
        <v>58</v>
      </c>
      <c r="C96" s="18" t="s">
        <v>31</v>
      </c>
      <c r="D96" s="18" t="s">
        <v>23</v>
      </c>
      <c r="E96" s="19">
        <v>966.3</v>
      </c>
      <c r="F96" s="20">
        <v>2</v>
      </c>
      <c r="G96" s="21">
        <v>0.15</v>
      </c>
      <c r="H96" s="22">
        <v>45557</v>
      </c>
      <c r="I96" s="19">
        <v>328.54</v>
      </c>
      <c r="J96" s="23">
        <f t="shared" ca="1" si="2"/>
        <v>46309.485141898149</v>
      </c>
    </row>
    <row r="97" spans="1:10" ht="15.75" customHeight="1" x14ac:dyDescent="0.35">
      <c r="A97" s="18" t="s">
        <v>79</v>
      </c>
      <c r="B97" s="18" t="s">
        <v>28</v>
      </c>
      <c r="C97" s="18" t="s">
        <v>31</v>
      </c>
      <c r="D97" s="18" t="s">
        <v>23</v>
      </c>
      <c r="E97" s="19">
        <v>917.48</v>
      </c>
      <c r="F97" s="20">
        <v>6</v>
      </c>
      <c r="G97" s="21">
        <v>0</v>
      </c>
      <c r="H97" s="22">
        <v>45558</v>
      </c>
      <c r="I97" s="19">
        <v>366.99</v>
      </c>
      <c r="J97" s="23">
        <f t="shared" ca="1" si="2"/>
        <v>46309.485141898149</v>
      </c>
    </row>
    <row r="98" spans="1:10" ht="15.75" customHeight="1" x14ac:dyDescent="0.35">
      <c r="A98" s="18" t="s">
        <v>52</v>
      </c>
      <c r="B98" s="18" t="s">
        <v>72</v>
      </c>
      <c r="C98" s="18" t="s">
        <v>22</v>
      </c>
      <c r="D98" s="18" t="s">
        <v>38</v>
      </c>
      <c r="E98" s="19">
        <v>1172.97</v>
      </c>
      <c r="F98" s="20">
        <v>7</v>
      </c>
      <c r="G98" s="21">
        <v>0.15</v>
      </c>
      <c r="H98" s="22">
        <v>45559</v>
      </c>
      <c r="I98" s="19">
        <v>348.96</v>
      </c>
      <c r="J98" s="23">
        <f t="shared" ref="J98:J129" ca="1" si="3">NOW()</f>
        <v>46309.485141898149</v>
      </c>
    </row>
    <row r="99" spans="1:10" ht="15.75" customHeight="1" x14ac:dyDescent="0.35">
      <c r="A99" s="18" t="s">
        <v>68</v>
      </c>
      <c r="B99" s="18" t="s">
        <v>34</v>
      </c>
      <c r="C99" s="18" t="s">
        <v>35</v>
      </c>
      <c r="D99" s="18" t="s">
        <v>26</v>
      </c>
      <c r="E99" s="19">
        <v>1205.82</v>
      </c>
      <c r="F99" s="20">
        <v>11</v>
      </c>
      <c r="G99" s="21">
        <v>0.1</v>
      </c>
      <c r="H99" s="22">
        <v>45559</v>
      </c>
      <c r="I99" s="19">
        <v>542.62</v>
      </c>
      <c r="J99" s="23">
        <f t="shared" ca="1" si="3"/>
        <v>46309.485141898149</v>
      </c>
    </row>
    <row r="100" spans="1:10" ht="15.75" customHeight="1" x14ac:dyDescent="0.35">
      <c r="A100" s="18" t="s">
        <v>27</v>
      </c>
      <c r="B100" s="18" t="s">
        <v>75</v>
      </c>
      <c r="C100" s="18" t="s">
        <v>22</v>
      </c>
      <c r="D100" s="18" t="s">
        <v>50</v>
      </c>
      <c r="E100" s="19">
        <v>826.93</v>
      </c>
      <c r="F100" s="20">
        <v>10</v>
      </c>
      <c r="G100" s="21">
        <v>0.2</v>
      </c>
      <c r="H100" s="22">
        <v>45564</v>
      </c>
      <c r="I100" s="19">
        <v>297.69</v>
      </c>
      <c r="J100" s="23">
        <f t="shared" ca="1" si="3"/>
        <v>46309.485141898149</v>
      </c>
    </row>
    <row r="101" spans="1:10" ht="15.75" customHeight="1" x14ac:dyDescent="0.35">
      <c r="A101" s="18" t="s">
        <v>78</v>
      </c>
      <c r="B101" s="18" t="s">
        <v>34</v>
      </c>
      <c r="C101" s="18" t="s">
        <v>45</v>
      </c>
      <c r="D101" s="18" t="s">
        <v>26</v>
      </c>
      <c r="E101" s="19">
        <v>902.19</v>
      </c>
      <c r="F101" s="20">
        <v>12</v>
      </c>
      <c r="G101" s="21">
        <v>0</v>
      </c>
      <c r="H101" s="22">
        <v>45564</v>
      </c>
      <c r="I101" s="19">
        <v>451.1</v>
      </c>
      <c r="J101" s="23">
        <f t="shared" ca="1" si="3"/>
        <v>46309.485141898149</v>
      </c>
    </row>
    <row r="102" spans="1:10" ht="15.75" customHeight="1" x14ac:dyDescent="0.35">
      <c r="A102" s="18" t="s">
        <v>85</v>
      </c>
      <c r="B102" s="18" t="s">
        <v>49</v>
      </c>
      <c r="C102" s="18" t="s">
        <v>35</v>
      </c>
      <c r="D102" s="18" t="s">
        <v>23</v>
      </c>
      <c r="E102" s="19">
        <v>585.97</v>
      </c>
      <c r="F102" s="20">
        <v>17</v>
      </c>
      <c r="G102" s="21">
        <v>0.1</v>
      </c>
      <c r="H102" s="22">
        <v>45565</v>
      </c>
      <c r="I102" s="19">
        <v>210.95</v>
      </c>
      <c r="J102" s="23">
        <f t="shared" ca="1" si="3"/>
        <v>46309.485141898149</v>
      </c>
    </row>
    <row r="103" spans="1:10" ht="15.75" customHeight="1" x14ac:dyDescent="0.35">
      <c r="A103" s="18" t="s">
        <v>71</v>
      </c>
      <c r="B103" s="18" t="s">
        <v>37</v>
      </c>
      <c r="C103" s="18" t="s">
        <v>35</v>
      </c>
      <c r="D103" s="18" t="s">
        <v>26</v>
      </c>
      <c r="E103" s="19">
        <v>990.19</v>
      </c>
      <c r="F103" s="20">
        <v>8</v>
      </c>
      <c r="G103" s="21">
        <v>0.1</v>
      </c>
      <c r="H103" s="22">
        <v>45565</v>
      </c>
      <c r="I103" s="19">
        <v>445.59</v>
      </c>
      <c r="J103" s="23">
        <f t="shared" ca="1" si="3"/>
        <v>46309.485141898149</v>
      </c>
    </row>
    <row r="104" spans="1:10" ht="15.75" customHeight="1" x14ac:dyDescent="0.35">
      <c r="A104" s="18" t="s">
        <v>55</v>
      </c>
      <c r="B104" s="18" t="s">
        <v>67</v>
      </c>
      <c r="C104" s="18" t="s">
        <v>45</v>
      </c>
      <c r="D104" s="18" t="s">
        <v>32</v>
      </c>
      <c r="E104" s="19">
        <v>1014.09</v>
      </c>
      <c r="F104" s="20">
        <v>13</v>
      </c>
      <c r="G104" s="21">
        <v>0.2</v>
      </c>
      <c r="H104" s="22">
        <v>45567</v>
      </c>
      <c r="I104" s="19">
        <v>202.82</v>
      </c>
      <c r="J104" s="23">
        <f t="shared" ca="1" si="3"/>
        <v>46309.485141898149</v>
      </c>
    </row>
    <row r="105" spans="1:10" ht="15.75" customHeight="1" x14ac:dyDescent="0.35">
      <c r="A105" s="18" t="s">
        <v>24</v>
      </c>
      <c r="B105" s="18" t="s">
        <v>59</v>
      </c>
      <c r="C105" s="18" t="s">
        <v>35</v>
      </c>
      <c r="D105" s="18" t="s">
        <v>32</v>
      </c>
      <c r="E105" s="19">
        <v>925.29</v>
      </c>
      <c r="F105" s="20">
        <v>17</v>
      </c>
      <c r="G105" s="21">
        <v>0</v>
      </c>
      <c r="H105" s="22">
        <v>45570</v>
      </c>
      <c r="I105" s="19">
        <v>231.32</v>
      </c>
      <c r="J105" s="23">
        <f t="shared" ca="1" si="3"/>
        <v>46309.485141898149</v>
      </c>
    </row>
    <row r="106" spans="1:10" ht="15.75" customHeight="1" x14ac:dyDescent="0.35">
      <c r="A106" s="18" t="s">
        <v>65</v>
      </c>
      <c r="B106" s="18" t="s">
        <v>58</v>
      </c>
      <c r="C106" s="18" t="s">
        <v>29</v>
      </c>
      <c r="D106" s="18" t="s">
        <v>38</v>
      </c>
      <c r="E106" s="19">
        <v>1286.54</v>
      </c>
      <c r="F106" s="20">
        <v>8</v>
      </c>
      <c r="G106" s="21">
        <v>0</v>
      </c>
      <c r="H106" s="22">
        <v>45575</v>
      </c>
      <c r="I106" s="19">
        <v>450.29</v>
      </c>
      <c r="J106" s="23">
        <f t="shared" ca="1" si="3"/>
        <v>46309.485141898149</v>
      </c>
    </row>
    <row r="107" spans="1:10" ht="15.75" customHeight="1" x14ac:dyDescent="0.35">
      <c r="A107" s="18" t="s">
        <v>48</v>
      </c>
      <c r="B107" s="18" t="s">
        <v>75</v>
      </c>
      <c r="C107" s="18" t="s">
        <v>31</v>
      </c>
      <c r="D107" s="18" t="s">
        <v>23</v>
      </c>
      <c r="E107" s="19">
        <v>961.62</v>
      </c>
      <c r="F107" s="20">
        <v>8</v>
      </c>
      <c r="G107" s="21">
        <v>0.2</v>
      </c>
      <c r="H107" s="22">
        <v>45577</v>
      </c>
      <c r="I107" s="19">
        <v>307.72000000000003</v>
      </c>
      <c r="J107" s="23">
        <f t="shared" ca="1" si="3"/>
        <v>46309.485141898149</v>
      </c>
    </row>
    <row r="108" spans="1:10" ht="15.75" customHeight="1" x14ac:dyDescent="0.35">
      <c r="A108" s="18" t="s">
        <v>55</v>
      </c>
      <c r="B108" s="18" t="s">
        <v>34</v>
      </c>
      <c r="C108" s="18" t="s">
        <v>29</v>
      </c>
      <c r="D108" s="18" t="s">
        <v>23</v>
      </c>
      <c r="E108" s="19">
        <v>1081.1400000000001</v>
      </c>
      <c r="F108" s="20">
        <v>19</v>
      </c>
      <c r="G108" s="21">
        <v>0.15</v>
      </c>
      <c r="H108" s="22">
        <v>45577</v>
      </c>
      <c r="I108" s="19">
        <v>367.59</v>
      </c>
      <c r="J108" s="23">
        <f t="shared" ca="1" si="3"/>
        <v>46309.485141898149</v>
      </c>
    </row>
    <row r="109" spans="1:10" ht="15.75" customHeight="1" x14ac:dyDescent="0.35">
      <c r="A109" s="18" t="s">
        <v>69</v>
      </c>
      <c r="B109" s="18" t="s">
        <v>34</v>
      </c>
      <c r="C109" s="18" t="s">
        <v>22</v>
      </c>
      <c r="D109" s="18" t="s">
        <v>26</v>
      </c>
      <c r="E109" s="19">
        <v>1923.66</v>
      </c>
      <c r="F109" s="20">
        <v>9</v>
      </c>
      <c r="G109" s="21">
        <v>0.2</v>
      </c>
      <c r="H109" s="22">
        <v>45580</v>
      </c>
      <c r="I109" s="19">
        <v>769.46</v>
      </c>
      <c r="J109" s="23">
        <f t="shared" ca="1" si="3"/>
        <v>46309.485141898149</v>
      </c>
    </row>
    <row r="110" spans="1:10" ht="15.75" customHeight="1" x14ac:dyDescent="0.35">
      <c r="A110" s="18" t="s">
        <v>65</v>
      </c>
      <c r="B110" s="18" t="s">
        <v>77</v>
      </c>
      <c r="C110" s="18" t="s">
        <v>45</v>
      </c>
      <c r="D110" s="18" t="s">
        <v>26</v>
      </c>
      <c r="E110" s="19">
        <v>728.71</v>
      </c>
      <c r="F110" s="20">
        <v>14</v>
      </c>
      <c r="G110" s="21">
        <v>0.1</v>
      </c>
      <c r="H110" s="22">
        <v>45581</v>
      </c>
      <c r="I110" s="19">
        <v>327.92</v>
      </c>
      <c r="J110" s="23">
        <f t="shared" ca="1" si="3"/>
        <v>46309.485141898149</v>
      </c>
    </row>
    <row r="111" spans="1:10" ht="15.75" customHeight="1" x14ac:dyDescent="0.35">
      <c r="A111" s="18" t="s">
        <v>20</v>
      </c>
      <c r="B111" s="18" t="s">
        <v>44</v>
      </c>
      <c r="C111" s="18" t="s">
        <v>45</v>
      </c>
      <c r="D111" s="18" t="s">
        <v>26</v>
      </c>
      <c r="E111" s="19">
        <v>1301.8900000000001</v>
      </c>
      <c r="F111" s="20">
        <v>7</v>
      </c>
      <c r="G111" s="21">
        <v>0.15</v>
      </c>
      <c r="H111" s="22">
        <v>45581</v>
      </c>
      <c r="I111" s="19">
        <v>553.29999999999995</v>
      </c>
      <c r="J111" s="23">
        <f t="shared" ca="1" si="3"/>
        <v>46309.485141898149</v>
      </c>
    </row>
    <row r="112" spans="1:10" ht="15.75" customHeight="1" x14ac:dyDescent="0.35">
      <c r="A112" s="18" t="s">
        <v>81</v>
      </c>
      <c r="B112" s="18" t="s">
        <v>77</v>
      </c>
      <c r="C112" s="18" t="s">
        <v>29</v>
      </c>
      <c r="D112" s="18" t="s">
        <v>23</v>
      </c>
      <c r="E112" s="19">
        <v>980.18</v>
      </c>
      <c r="F112" s="20">
        <v>16</v>
      </c>
      <c r="G112" s="21">
        <v>0.1</v>
      </c>
      <c r="H112" s="22">
        <v>45582</v>
      </c>
      <c r="I112" s="19">
        <v>352.86</v>
      </c>
      <c r="J112" s="23">
        <f t="shared" ca="1" si="3"/>
        <v>46309.485141898149</v>
      </c>
    </row>
    <row r="113" spans="1:10" ht="15.75" customHeight="1" x14ac:dyDescent="0.35">
      <c r="A113" s="18" t="s">
        <v>85</v>
      </c>
      <c r="B113" s="18" t="s">
        <v>34</v>
      </c>
      <c r="C113" s="18" t="s">
        <v>22</v>
      </c>
      <c r="D113" s="18" t="s">
        <v>26</v>
      </c>
      <c r="E113" s="19">
        <v>697.57</v>
      </c>
      <c r="F113" s="20">
        <v>17</v>
      </c>
      <c r="G113" s="21">
        <v>0.1</v>
      </c>
      <c r="H113" s="22">
        <v>45584</v>
      </c>
      <c r="I113" s="19">
        <v>313.91000000000003</v>
      </c>
      <c r="J113" s="23">
        <f t="shared" ca="1" si="3"/>
        <v>46309.485141898149</v>
      </c>
    </row>
    <row r="114" spans="1:10" ht="15.75" customHeight="1" x14ac:dyDescent="0.35">
      <c r="A114" s="18" t="s">
        <v>57</v>
      </c>
      <c r="B114" s="18" t="s">
        <v>82</v>
      </c>
      <c r="C114" s="18" t="s">
        <v>22</v>
      </c>
      <c r="D114" s="18" t="s">
        <v>38</v>
      </c>
      <c r="E114" s="19">
        <v>1193.6099999999999</v>
      </c>
      <c r="F114" s="20">
        <v>1</v>
      </c>
      <c r="G114" s="21">
        <v>0.15</v>
      </c>
      <c r="H114" s="22">
        <v>45584</v>
      </c>
      <c r="I114" s="19">
        <v>355.1</v>
      </c>
      <c r="J114" s="23">
        <f t="shared" ca="1" si="3"/>
        <v>46309.485141898149</v>
      </c>
    </row>
    <row r="115" spans="1:10" ht="15.75" customHeight="1" x14ac:dyDescent="0.35">
      <c r="A115" s="18" t="s">
        <v>43</v>
      </c>
      <c r="B115" s="18" t="s">
        <v>49</v>
      </c>
      <c r="C115" s="18" t="s">
        <v>31</v>
      </c>
      <c r="D115" s="18" t="s">
        <v>32</v>
      </c>
      <c r="E115" s="19">
        <v>771.02</v>
      </c>
      <c r="F115" s="20">
        <v>1</v>
      </c>
      <c r="G115" s="21">
        <v>0</v>
      </c>
      <c r="H115" s="22">
        <v>45585</v>
      </c>
      <c r="I115" s="19">
        <v>192.76</v>
      </c>
      <c r="J115" s="23">
        <f t="shared" ca="1" si="3"/>
        <v>46309.485141898149</v>
      </c>
    </row>
    <row r="116" spans="1:10" ht="15.75" customHeight="1" x14ac:dyDescent="0.35">
      <c r="A116" s="18" t="s">
        <v>78</v>
      </c>
      <c r="B116" s="18" t="s">
        <v>80</v>
      </c>
      <c r="C116" s="18" t="s">
        <v>35</v>
      </c>
      <c r="D116" s="18" t="s">
        <v>26</v>
      </c>
      <c r="E116" s="19">
        <v>661.09</v>
      </c>
      <c r="F116" s="20">
        <v>1</v>
      </c>
      <c r="G116" s="21">
        <v>0.2</v>
      </c>
      <c r="H116" s="22">
        <v>45593</v>
      </c>
      <c r="I116" s="19">
        <v>264.44</v>
      </c>
      <c r="J116" s="23">
        <f t="shared" ca="1" si="3"/>
        <v>46309.485141898149</v>
      </c>
    </row>
    <row r="117" spans="1:10" ht="15.75" customHeight="1" x14ac:dyDescent="0.35">
      <c r="A117" s="18" t="s">
        <v>24</v>
      </c>
      <c r="B117" s="18" t="s">
        <v>66</v>
      </c>
      <c r="C117" s="18" t="s">
        <v>22</v>
      </c>
      <c r="D117" s="18" t="s">
        <v>32</v>
      </c>
      <c r="E117" s="19">
        <v>688.83</v>
      </c>
      <c r="F117" s="20">
        <v>15</v>
      </c>
      <c r="G117" s="21">
        <v>0</v>
      </c>
      <c r="H117" s="22">
        <v>45595</v>
      </c>
      <c r="I117" s="19">
        <v>172.21</v>
      </c>
      <c r="J117" s="23">
        <f t="shared" ca="1" si="3"/>
        <v>46309.485141898149</v>
      </c>
    </row>
    <row r="118" spans="1:10" ht="15.75" customHeight="1" x14ac:dyDescent="0.35">
      <c r="A118" s="18" t="s">
        <v>84</v>
      </c>
      <c r="B118" s="18" t="s">
        <v>40</v>
      </c>
      <c r="C118" s="18" t="s">
        <v>45</v>
      </c>
      <c r="D118" s="18" t="s">
        <v>23</v>
      </c>
      <c r="E118" s="19">
        <v>1249.0999999999999</v>
      </c>
      <c r="F118" s="20">
        <v>4</v>
      </c>
      <c r="G118" s="21">
        <v>0.05</v>
      </c>
      <c r="H118" s="22">
        <v>45597</v>
      </c>
      <c r="I118" s="19">
        <v>474.66</v>
      </c>
      <c r="J118" s="23">
        <f t="shared" ca="1" si="3"/>
        <v>46309.485141898149</v>
      </c>
    </row>
    <row r="119" spans="1:10" ht="15.75" customHeight="1" x14ac:dyDescent="0.35">
      <c r="A119" s="18" t="s">
        <v>55</v>
      </c>
      <c r="B119" s="18" t="s">
        <v>34</v>
      </c>
      <c r="C119" s="18" t="s">
        <v>29</v>
      </c>
      <c r="D119" s="18" t="s">
        <v>50</v>
      </c>
      <c r="E119" s="19">
        <v>1014.22</v>
      </c>
      <c r="F119" s="20">
        <v>14</v>
      </c>
      <c r="G119" s="21">
        <v>0.05</v>
      </c>
      <c r="H119" s="22">
        <v>45599</v>
      </c>
      <c r="I119" s="19">
        <v>433.58</v>
      </c>
      <c r="J119" s="23">
        <f t="shared" ca="1" si="3"/>
        <v>46309.485141898149</v>
      </c>
    </row>
    <row r="120" spans="1:10" ht="15.75" customHeight="1" x14ac:dyDescent="0.35">
      <c r="A120" s="18" t="s">
        <v>65</v>
      </c>
      <c r="B120" s="18" t="s">
        <v>59</v>
      </c>
      <c r="C120" s="18" t="s">
        <v>29</v>
      </c>
      <c r="D120" s="18" t="s">
        <v>23</v>
      </c>
      <c r="E120" s="19">
        <v>1010.58</v>
      </c>
      <c r="F120" s="20">
        <v>2</v>
      </c>
      <c r="G120" s="21">
        <v>0.15</v>
      </c>
      <c r="H120" s="22">
        <v>45605</v>
      </c>
      <c r="I120" s="19">
        <v>343.6</v>
      </c>
      <c r="J120" s="23">
        <f t="shared" ca="1" si="3"/>
        <v>46309.485141898149</v>
      </c>
    </row>
    <row r="121" spans="1:10" ht="15.75" customHeight="1" x14ac:dyDescent="0.35">
      <c r="A121" s="18" t="s">
        <v>41</v>
      </c>
      <c r="B121" s="18" t="s">
        <v>70</v>
      </c>
      <c r="C121" s="18" t="s">
        <v>35</v>
      </c>
      <c r="D121" s="18" t="s">
        <v>38</v>
      </c>
      <c r="E121" s="19">
        <v>957.29</v>
      </c>
      <c r="F121" s="20">
        <v>4</v>
      </c>
      <c r="G121" s="21">
        <v>0.05</v>
      </c>
      <c r="H121" s="22">
        <v>45605</v>
      </c>
      <c r="I121" s="19">
        <v>318.3</v>
      </c>
      <c r="J121" s="23">
        <f t="shared" ca="1" si="3"/>
        <v>46309.485141898149</v>
      </c>
    </row>
    <row r="122" spans="1:10" ht="15.75" customHeight="1" x14ac:dyDescent="0.35">
      <c r="A122" s="18" t="s">
        <v>39</v>
      </c>
      <c r="B122" s="18" t="s">
        <v>56</v>
      </c>
      <c r="C122" s="18" t="s">
        <v>35</v>
      </c>
      <c r="D122" s="18" t="s">
        <v>38</v>
      </c>
      <c r="E122" s="19">
        <v>1077.92</v>
      </c>
      <c r="F122" s="20">
        <v>3</v>
      </c>
      <c r="G122" s="21">
        <v>0.05</v>
      </c>
      <c r="H122" s="22">
        <v>45608</v>
      </c>
      <c r="I122" s="19">
        <v>358.41</v>
      </c>
      <c r="J122" s="23">
        <f t="shared" ca="1" si="3"/>
        <v>46309.485141898149</v>
      </c>
    </row>
    <row r="123" spans="1:10" ht="15.75" customHeight="1" x14ac:dyDescent="0.35">
      <c r="A123" s="18" t="s">
        <v>63</v>
      </c>
      <c r="B123" s="18" t="s">
        <v>61</v>
      </c>
      <c r="C123" s="18" t="s">
        <v>31</v>
      </c>
      <c r="D123" s="18" t="s">
        <v>26</v>
      </c>
      <c r="E123" s="19">
        <v>1163.01</v>
      </c>
      <c r="F123" s="20">
        <v>5</v>
      </c>
      <c r="G123" s="21">
        <v>0</v>
      </c>
      <c r="H123" s="22">
        <v>45611</v>
      </c>
      <c r="I123" s="19">
        <v>581.5</v>
      </c>
      <c r="J123" s="23">
        <f t="shared" ca="1" si="3"/>
        <v>46309.485141898149</v>
      </c>
    </row>
    <row r="124" spans="1:10" ht="15.75" customHeight="1" x14ac:dyDescent="0.35">
      <c r="A124" s="18" t="s">
        <v>65</v>
      </c>
      <c r="B124" s="18" t="s">
        <v>56</v>
      </c>
      <c r="C124" s="18" t="s">
        <v>29</v>
      </c>
      <c r="D124" s="18" t="s">
        <v>50</v>
      </c>
      <c r="E124" s="19">
        <v>1014.56</v>
      </c>
      <c r="F124" s="20">
        <v>10</v>
      </c>
      <c r="G124" s="21">
        <v>0.1</v>
      </c>
      <c r="H124" s="22">
        <v>45612</v>
      </c>
      <c r="I124" s="19">
        <v>410.9</v>
      </c>
      <c r="J124" s="23">
        <f t="shared" ca="1" si="3"/>
        <v>46309.485141898149</v>
      </c>
    </row>
    <row r="125" spans="1:10" ht="15.75" customHeight="1" x14ac:dyDescent="0.35">
      <c r="A125" s="18" t="s">
        <v>20</v>
      </c>
      <c r="B125" s="18" t="s">
        <v>28</v>
      </c>
      <c r="C125" s="18" t="s">
        <v>31</v>
      </c>
      <c r="D125" s="18" t="s">
        <v>32</v>
      </c>
      <c r="E125" s="19">
        <v>718.04</v>
      </c>
      <c r="F125" s="20">
        <v>14</v>
      </c>
      <c r="G125" s="21">
        <v>0</v>
      </c>
      <c r="H125" s="22">
        <v>45613</v>
      </c>
      <c r="I125" s="19">
        <v>179.51</v>
      </c>
      <c r="J125" s="23">
        <f t="shared" ca="1" si="3"/>
        <v>46309.485141898149</v>
      </c>
    </row>
    <row r="126" spans="1:10" ht="15.75" customHeight="1" x14ac:dyDescent="0.35">
      <c r="A126" s="18" t="s">
        <v>83</v>
      </c>
      <c r="B126" s="18" t="s">
        <v>28</v>
      </c>
      <c r="C126" s="18" t="s">
        <v>45</v>
      </c>
      <c r="D126" s="18" t="s">
        <v>26</v>
      </c>
      <c r="E126" s="19">
        <v>1277.8499999999999</v>
      </c>
      <c r="F126" s="20">
        <v>18</v>
      </c>
      <c r="G126" s="21">
        <v>0.2</v>
      </c>
      <c r="H126" s="22">
        <v>45613</v>
      </c>
      <c r="I126" s="19">
        <v>511.14</v>
      </c>
      <c r="J126" s="23">
        <f t="shared" ca="1" si="3"/>
        <v>46309.485141898149</v>
      </c>
    </row>
    <row r="127" spans="1:10" ht="15.75" customHeight="1" x14ac:dyDescent="0.35">
      <c r="A127" s="18" t="s">
        <v>81</v>
      </c>
      <c r="B127" s="18" t="s">
        <v>34</v>
      </c>
      <c r="C127" s="18" t="s">
        <v>35</v>
      </c>
      <c r="D127" s="18" t="s">
        <v>32</v>
      </c>
      <c r="E127" s="19">
        <v>706.73</v>
      </c>
      <c r="F127" s="20">
        <v>1</v>
      </c>
      <c r="G127" s="21">
        <v>0.15</v>
      </c>
      <c r="H127" s="22">
        <v>45613</v>
      </c>
      <c r="I127" s="19">
        <v>150.18</v>
      </c>
      <c r="J127" s="23">
        <f t="shared" ca="1" si="3"/>
        <v>46309.485141898149</v>
      </c>
    </row>
    <row r="128" spans="1:10" ht="15.75" customHeight="1" x14ac:dyDescent="0.35">
      <c r="A128" s="18" t="s">
        <v>76</v>
      </c>
      <c r="B128" s="18" t="s">
        <v>61</v>
      </c>
      <c r="C128" s="18" t="s">
        <v>29</v>
      </c>
      <c r="D128" s="18" t="s">
        <v>32</v>
      </c>
      <c r="E128" s="19">
        <v>1410.59</v>
      </c>
      <c r="F128" s="20">
        <v>15</v>
      </c>
      <c r="G128" s="21">
        <v>0</v>
      </c>
      <c r="H128" s="22">
        <v>45615</v>
      </c>
      <c r="I128" s="19">
        <v>352.65</v>
      </c>
      <c r="J128" s="23">
        <f t="shared" ca="1" si="3"/>
        <v>46309.485141898149</v>
      </c>
    </row>
    <row r="129" spans="1:10" ht="15.75" customHeight="1" x14ac:dyDescent="0.35">
      <c r="A129" s="18" t="s">
        <v>43</v>
      </c>
      <c r="B129" s="18" t="s">
        <v>72</v>
      </c>
      <c r="C129" s="18" t="s">
        <v>31</v>
      </c>
      <c r="D129" s="18" t="s">
        <v>38</v>
      </c>
      <c r="E129" s="19">
        <v>1350.33</v>
      </c>
      <c r="F129" s="20">
        <v>10</v>
      </c>
      <c r="G129" s="21">
        <v>0</v>
      </c>
      <c r="H129" s="22">
        <v>45615</v>
      </c>
      <c r="I129" s="19">
        <v>472.62</v>
      </c>
      <c r="J129" s="23">
        <f t="shared" ca="1" si="3"/>
        <v>46309.485141898149</v>
      </c>
    </row>
    <row r="130" spans="1:10" ht="15.75" customHeight="1" x14ac:dyDescent="0.35">
      <c r="A130" s="18" t="s">
        <v>52</v>
      </c>
      <c r="B130" s="18" t="s">
        <v>56</v>
      </c>
      <c r="C130" s="18" t="s">
        <v>29</v>
      </c>
      <c r="D130" s="18" t="s">
        <v>32</v>
      </c>
      <c r="E130" s="19">
        <v>919.18</v>
      </c>
      <c r="F130" s="20">
        <v>4</v>
      </c>
      <c r="G130" s="21">
        <v>0.15</v>
      </c>
      <c r="H130" s="22">
        <v>45615</v>
      </c>
      <c r="I130" s="19">
        <v>195.33</v>
      </c>
      <c r="J130" s="23">
        <f t="shared" ref="J130:J161" ca="1" si="4">NOW()</f>
        <v>46309.485141898149</v>
      </c>
    </row>
    <row r="131" spans="1:10" ht="15.75" customHeight="1" x14ac:dyDescent="0.35">
      <c r="A131" s="18" t="s">
        <v>85</v>
      </c>
      <c r="B131" s="18" t="s">
        <v>34</v>
      </c>
      <c r="C131" s="18" t="s">
        <v>22</v>
      </c>
      <c r="D131" s="18" t="s">
        <v>32</v>
      </c>
      <c r="E131" s="19">
        <v>258.51</v>
      </c>
      <c r="F131" s="20">
        <v>19</v>
      </c>
      <c r="G131" s="21">
        <v>0</v>
      </c>
      <c r="H131" s="22">
        <v>45616</v>
      </c>
      <c r="I131" s="19">
        <v>64.63</v>
      </c>
      <c r="J131" s="23">
        <f t="shared" ca="1" si="4"/>
        <v>46309.485141898149</v>
      </c>
    </row>
    <row r="132" spans="1:10" ht="15.75" customHeight="1" x14ac:dyDescent="0.35">
      <c r="A132" s="18" t="s">
        <v>74</v>
      </c>
      <c r="B132" s="18" t="s">
        <v>72</v>
      </c>
      <c r="C132" s="18" t="s">
        <v>29</v>
      </c>
      <c r="D132" s="18" t="s">
        <v>23</v>
      </c>
      <c r="E132" s="19">
        <v>1213.48</v>
      </c>
      <c r="F132" s="20">
        <v>5</v>
      </c>
      <c r="G132" s="21">
        <v>0.05</v>
      </c>
      <c r="H132" s="22">
        <v>45616</v>
      </c>
      <c r="I132" s="19">
        <v>461.12</v>
      </c>
      <c r="J132" s="23">
        <f t="shared" ca="1" si="4"/>
        <v>46309.485141898149</v>
      </c>
    </row>
    <row r="133" spans="1:10" ht="15.75" customHeight="1" x14ac:dyDescent="0.35">
      <c r="A133" s="18" t="s">
        <v>68</v>
      </c>
      <c r="B133" s="18" t="s">
        <v>49</v>
      </c>
      <c r="C133" s="18" t="s">
        <v>45</v>
      </c>
      <c r="D133" s="18" t="s">
        <v>23</v>
      </c>
      <c r="E133" s="19">
        <v>1150.28</v>
      </c>
      <c r="F133" s="20">
        <v>8</v>
      </c>
      <c r="G133" s="21">
        <v>0.05</v>
      </c>
      <c r="H133" s="22">
        <v>45622</v>
      </c>
      <c r="I133" s="19">
        <v>437.11</v>
      </c>
      <c r="J133" s="23">
        <f t="shared" ca="1" si="4"/>
        <v>46309.485141898149</v>
      </c>
    </row>
    <row r="134" spans="1:10" ht="15.75" customHeight="1" x14ac:dyDescent="0.35">
      <c r="A134" s="18" t="s">
        <v>48</v>
      </c>
      <c r="B134" s="18" t="s">
        <v>82</v>
      </c>
      <c r="C134" s="18" t="s">
        <v>31</v>
      </c>
      <c r="D134" s="18" t="s">
        <v>38</v>
      </c>
      <c r="E134" s="19">
        <v>853.86</v>
      </c>
      <c r="F134" s="20">
        <v>8</v>
      </c>
      <c r="G134" s="21">
        <v>0.1</v>
      </c>
      <c r="H134" s="22">
        <v>45622</v>
      </c>
      <c r="I134" s="19">
        <v>268.97000000000003</v>
      </c>
      <c r="J134" s="23">
        <f t="shared" ca="1" si="4"/>
        <v>46309.485141898149</v>
      </c>
    </row>
    <row r="135" spans="1:10" ht="15.75" customHeight="1" x14ac:dyDescent="0.35">
      <c r="A135" s="18" t="s">
        <v>86</v>
      </c>
      <c r="B135" s="18" t="s">
        <v>56</v>
      </c>
      <c r="C135" s="18" t="s">
        <v>31</v>
      </c>
      <c r="D135" s="18" t="s">
        <v>32</v>
      </c>
      <c r="E135" s="19">
        <v>1061.04</v>
      </c>
      <c r="F135" s="20">
        <v>1</v>
      </c>
      <c r="G135" s="21">
        <v>0</v>
      </c>
      <c r="H135" s="22">
        <v>45624</v>
      </c>
      <c r="I135" s="19">
        <v>265.26</v>
      </c>
      <c r="J135" s="23">
        <f t="shared" ca="1" si="4"/>
        <v>46309.485141898149</v>
      </c>
    </row>
    <row r="136" spans="1:10" ht="15.75" customHeight="1" x14ac:dyDescent="0.35">
      <c r="A136" s="18" t="s">
        <v>39</v>
      </c>
      <c r="B136" s="18" t="s">
        <v>54</v>
      </c>
      <c r="C136" s="18" t="s">
        <v>22</v>
      </c>
      <c r="D136" s="18" t="s">
        <v>32</v>
      </c>
      <c r="E136" s="19">
        <v>894.55</v>
      </c>
      <c r="F136" s="20">
        <v>19</v>
      </c>
      <c r="G136" s="21">
        <v>0.2</v>
      </c>
      <c r="H136" s="22">
        <v>45625</v>
      </c>
      <c r="I136" s="19">
        <v>178.91</v>
      </c>
      <c r="J136" s="23">
        <f t="shared" ca="1" si="4"/>
        <v>46309.485141898149</v>
      </c>
    </row>
    <row r="137" spans="1:10" ht="15.75" customHeight="1" x14ac:dyDescent="0.35">
      <c r="A137" s="18" t="s">
        <v>36</v>
      </c>
      <c r="B137" s="18" t="s">
        <v>49</v>
      </c>
      <c r="C137" s="18" t="s">
        <v>35</v>
      </c>
      <c r="D137" s="18" t="s">
        <v>50</v>
      </c>
      <c r="E137" s="19">
        <v>833.91</v>
      </c>
      <c r="F137" s="20">
        <v>3</v>
      </c>
      <c r="G137" s="21">
        <v>0.05</v>
      </c>
      <c r="H137" s="22">
        <v>45626</v>
      </c>
      <c r="I137" s="19">
        <v>356.5</v>
      </c>
      <c r="J137" s="23">
        <f t="shared" ca="1" si="4"/>
        <v>46309.485141898149</v>
      </c>
    </row>
    <row r="138" spans="1:10" ht="15.75" customHeight="1" x14ac:dyDescent="0.35">
      <c r="A138" s="18" t="s">
        <v>69</v>
      </c>
      <c r="B138" s="18" t="s">
        <v>82</v>
      </c>
      <c r="C138" s="18" t="s">
        <v>22</v>
      </c>
      <c r="D138" s="18" t="s">
        <v>38</v>
      </c>
      <c r="E138" s="19">
        <v>820.19</v>
      </c>
      <c r="F138" s="20">
        <v>4</v>
      </c>
      <c r="G138" s="21">
        <v>0.2</v>
      </c>
      <c r="H138" s="22">
        <v>45630</v>
      </c>
      <c r="I138" s="19">
        <v>229.65</v>
      </c>
      <c r="J138" s="23">
        <f t="shared" ca="1" si="4"/>
        <v>46309.485141898149</v>
      </c>
    </row>
    <row r="139" spans="1:10" ht="15.75" customHeight="1" x14ac:dyDescent="0.35">
      <c r="A139" s="18" t="s">
        <v>69</v>
      </c>
      <c r="B139" s="18" t="s">
        <v>49</v>
      </c>
      <c r="C139" s="18" t="s">
        <v>45</v>
      </c>
      <c r="D139" s="18" t="s">
        <v>32</v>
      </c>
      <c r="E139" s="19">
        <v>511.74</v>
      </c>
      <c r="F139" s="20">
        <v>8</v>
      </c>
      <c r="G139" s="21">
        <v>0.05</v>
      </c>
      <c r="H139" s="22">
        <v>45631</v>
      </c>
      <c r="I139" s="19">
        <v>121.54</v>
      </c>
      <c r="J139" s="23">
        <f t="shared" ca="1" si="4"/>
        <v>46309.485141898149</v>
      </c>
    </row>
    <row r="140" spans="1:10" ht="15.75" customHeight="1" x14ac:dyDescent="0.35">
      <c r="A140" s="18" t="s">
        <v>76</v>
      </c>
      <c r="B140" s="18" t="s">
        <v>72</v>
      </c>
      <c r="C140" s="18" t="s">
        <v>31</v>
      </c>
      <c r="D140" s="18" t="s">
        <v>38</v>
      </c>
      <c r="E140" s="19">
        <v>806.03</v>
      </c>
      <c r="F140" s="20">
        <v>19</v>
      </c>
      <c r="G140" s="21">
        <v>0.05</v>
      </c>
      <c r="H140" s="22">
        <v>45638</v>
      </c>
      <c r="I140" s="19">
        <v>268</v>
      </c>
      <c r="J140" s="23">
        <f t="shared" ca="1" si="4"/>
        <v>46309.485141898149</v>
      </c>
    </row>
    <row r="141" spans="1:10" ht="15.75" customHeight="1" x14ac:dyDescent="0.35">
      <c r="A141" s="18" t="s">
        <v>39</v>
      </c>
      <c r="B141" s="18" t="s">
        <v>37</v>
      </c>
      <c r="C141" s="18" t="s">
        <v>45</v>
      </c>
      <c r="D141" s="18" t="s">
        <v>38</v>
      </c>
      <c r="E141" s="19">
        <v>1432.47</v>
      </c>
      <c r="F141" s="20">
        <v>16</v>
      </c>
      <c r="G141" s="21">
        <v>0.15</v>
      </c>
      <c r="H141" s="22">
        <v>45640</v>
      </c>
      <c r="I141" s="19">
        <v>426.16</v>
      </c>
      <c r="J141" s="23">
        <f t="shared" ca="1" si="4"/>
        <v>46309.485141898149</v>
      </c>
    </row>
    <row r="142" spans="1:10" ht="15.75" customHeight="1" x14ac:dyDescent="0.35">
      <c r="A142" s="18" t="s">
        <v>85</v>
      </c>
      <c r="B142" s="18" t="s">
        <v>40</v>
      </c>
      <c r="C142" s="18" t="s">
        <v>45</v>
      </c>
      <c r="D142" s="18" t="s">
        <v>32</v>
      </c>
      <c r="E142" s="19">
        <v>1488.58</v>
      </c>
      <c r="F142" s="20">
        <v>10</v>
      </c>
      <c r="G142" s="21">
        <v>0.15</v>
      </c>
      <c r="H142" s="22">
        <v>45640</v>
      </c>
      <c r="I142" s="19">
        <v>316.32</v>
      </c>
      <c r="J142" s="23">
        <f t="shared" ca="1" si="4"/>
        <v>46309.485141898149</v>
      </c>
    </row>
    <row r="143" spans="1:10" ht="15.75" customHeight="1" x14ac:dyDescent="0.35">
      <c r="A143" s="18" t="s">
        <v>41</v>
      </c>
      <c r="B143" s="18" t="s">
        <v>77</v>
      </c>
      <c r="C143" s="18" t="s">
        <v>29</v>
      </c>
      <c r="D143" s="18" t="s">
        <v>23</v>
      </c>
      <c r="E143" s="19">
        <v>1231.26</v>
      </c>
      <c r="F143" s="20">
        <v>9</v>
      </c>
      <c r="G143" s="21">
        <v>0</v>
      </c>
      <c r="H143" s="22">
        <v>45646</v>
      </c>
      <c r="I143" s="19">
        <v>492.5</v>
      </c>
      <c r="J143" s="23">
        <f t="shared" ca="1" si="4"/>
        <v>46309.485141898149</v>
      </c>
    </row>
    <row r="144" spans="1:10" ht="15.75" customHeight="1" x14ac:dyDescent="0.35">
      <c r="A144" s="18" t="s">
        <v>41</v>
      </c>
      <c r="B144" s="18" t="s">
        <v>54</v>
      </c>
      <c r="C144" s="18" t="s">
        <v>22</v>
      </c>
      <c r="D144" s="18" t="s">
        <v>32</v>
      </c>
      <c r="E144" s="19">
        <v>1161.67</v>
      </c>
      <c r="F144" s="20">
        <v>19</v>
      </c>
      <c r="G144" s="21">
        <v>0.2</v>
      </c>
      <c r="H144" s="22">
        <v>45647</v>
      </c>
      <c r="I144" s="19">
        <v>232.33</v>
      </c>
      <c r="J144" s="23">
        <f t="shared" ca="1" si="4"/>
        <v>46309.485141898149</v>
      </c>
    </row>
    <row r="145" spans="1:10" ht="15.75" customHeight="1" x14ac:dyDescent="0.35">
      <c r="A145" s="18" t="s">
        <v>60</v>
      </c>
      <c r="B145" s="18" t="s">
        <v>56</v>
      </c>
      <c r="C145" s="18" t="s">
        <v>45</v>
      </c>
      <c r="D145" s="18" t="s">
        <v>50</v>
      </c>
      <c r="E145" s="19">
        <v>388.23</v>
      </c>
      <c r="F145" s="20">
        <v>16</v>
      </c>
      <c r="G145" s="21">
        <v>0.05</v>
      </c>
      <c r="H145" s="22">
        <v>45650</v>
      </c>
      <c r="I145" s="19">
        <v>165.97</v>
      </c>
      <c r="J145" s="23">
        <f t="shared" ca="1" si="4"/>
        <v>46309.485141898149</v>
      </c>
    </row>
    <row r="146" spans="1:10" ht="15.75" customHeight="1" x14ac:dyDescent="0.35">
      <c r="A146" s="18" t="s">
        <v>83</v>
      </c>
      <c r="B146" s="18" t="s">
        <v>42</v>
      </c>
      <c r="C146" s="18" t="s">
        <v>35</v>
      </c>
      <c r="D146" s="18" t="s">
        <v>26</v>
      </c>
      <c r="E146" s="19">
        <v>1589.42</v>
      </c>
      <c r="F146" s="20">
        <v>6</v>
      </c>
      <c r="G146" s="21">
        <v>0.15</v>
      </c>
      <c r="H146" s="22">
        <v>45651</v>
      </c>
      <c r="I146" s="19">
        <v>675.5</v>
      </c>
      <c r="J146" s="23">
        <f t="shared" ca="1" si="4"/>
        <v>46309.485141898149</v>
      </c>
    </row>
    <row r="147" spans="1:10" ht="15.75" customHeight="1" x14ac:dyDescent="0.35">
      <c r="A147" s="18" t="s">
        <v>39</v>
      </c>
      <c r="B147" s="18" t="s">
        <v>82</v>
      </c>
      <c r="C147" s="18" t="s">
        <v>35</v>
      </c>
      <c r="D147" s="18" t="s">
        <v>26</v>
      </c>
      <c r="E147" s="19">
        <v>336.66</v>
      </c>
      <c r="F147" s="20">
        <v>13</v>
      </c>
      <c r="G147" s="21">
        <v>0.2</v>
      </c>
      <c r="H147" s="22">
        <v>45651</v>
      </c>
      <c r="I147" s="19">
        <v>134.66</v>
      </c>
      <c r="J147" s="23">
        <f t="shared" ca="1" si="4"/>
        <v>46309.485141898149</v>
      </c>
    </row>
    <row r="148" spans="1:10" ht="15.75" customHeight="1" x14ac:dyDescent="0.35">
      <c r="A148" s="18" t="s">
        <v>60</v>
      </c>
      <c r="B148" s="18" t="s">
        <v>34</v>
      </c>
      <c r="C148" s="18" t="s">
        <v>22</v>
      </c>
      <c r="D148" s="18" t="s">
        <v>23</v>
      </c>
      <c r="E148" s="19">
        <v>1353.79</v>
      </c>
      <c r="F148" s="20">
        <v>14</v>
      </c>
      <c r="G148" s="21">
        <v>0.1</v>
      </c>
      <c r="H148" s="22">
        <v>45656</v>
      </c>
      <c r="I148" s="19">
        <v>487.36</v>
      </c>
      <c r="J148" s="23">
        <f t="shared" ca="1" si="4"/>
        <v>46309.485141898149</v>
      </c>
    </row>
    <row r="149" spans="1:10" ht="15.75" customHeight="1" x14ac:dyDescent="0.35">
      <c r="A149" s="18" t="s">
        <v>74</v>
      </c>
      <c r="B149" s="18" t="s">
        <v>80</v>
      </c>
      <c r="C149" s="18" t="s">
        <v>45</v>
      </c>
      <c r="D149" s="18" t="s">
        <v>26</v>
      </c>
      <c r="E149" s="19">
        <v>662.61</v>
      </c>
      <c r="F149" s="20">
        <v>11</v>
      </c>
      <c r="G149" s="21">
        <v>0.05</v>
      </c>
      <c r="H149" s="22">
        <v>45658</v>
      </c>
      <c r="I149" s="19">
        <v>314.74</v>
      </c>
      <c r="J149" s="23">
        <f t="shared" ca="1" si="4"/>
        <v>46309.485141898149</v>
      </c>
    </row>
    <row r="150" spans="1:10" ht="15.75" customHeight="1" x14ac:dyDescent="0.35">
      <c r="A150" s="18" t="s">
        <v>63</v>
      </c>
      <c r="B150" s="18" t="s">
        <v>59</v>
      </c>
      <c r="C150" s="18" t="s">
        <v>35</v>
      </c>
      <c r="D150" s="18" t="s">
        <v>50</v>
      </c>
      <c r="E150" s="19">
        <v>309.42</v>
      </c>
      <c r="F150" s="20">
        <v>1</v>
      </c>
      <c r="G150" s="21">
        <v>0.2</v>
      </c>
      <c r="H150" s="22">
        <v>45658</v>
      </c>
      <c r="I150" s="19">
        <v>111.39</v>
      </c>
      <c r="J150" s="23">
        <f t="shared" ca="1" si="4"/>
        <v>46309.485141898149</v>
      </c>
    </row>
    <row r="151" spans="1:10" ht="15.75" customHeight="1" x14ac:dyDescent="0.35">
      <c r="A151" s="18" t="s">
        <v>74</v>
      </c>
      <c r="B151" s="18" t="s">
        <v>40</v>
      </c>
      <c r="C151" s="18" t="s">
        <v>35</v>
      </c>
      <c r="D151" s="18" t="s">
        <v>23</v>
      </c>
      <c r="E151" s="19">
        <v>884.63</v>
      </c>
      <c r="F151" s="20">
        <v>18</v>
      </c>
      <c r="G151" s="21">
        <v>0.1</v>
      </c>
      <c r="H151" s="22">
        <v>45659</v>
      </c>
      <c r="I151" s="19">
        <v>318.47000000000003</v>
      </c>
      <c r="J151" s="23">
        <f t="shared" ca="1" si="4"/>
        <v>46309.485141898149</v>
      </c>
    </row>
    <row r="152" spans="1:10" ht="15.75" customHeight="1" x14ac:dyDescent="0.35">
      <c r="A152" s="18" t="s">
        <v>63</v>
      </c>
      <c r="B152" s="18" t="s">
        <v>34</v>
      </c>
      <c r="C152" s="18" t="s">
        <v>45</v>
      </c>
      <c r="D152" s="18" t="s">
        <v>50</v>
      </c>
      <c r="E152" s="19">
        <v>745.05</v>
      </c>
      <c r="F152" s="20">
        <v>10</v>
      </c>
      <c r="G152" s="21">
        <v>0.1</v>
      </c>
      <c r="H152" s="22">
        <v>45660</v>
      </c>
      <c r="I152" s="19">
        <v>301.75</v>
      </c>
      <c r="J152" s="23">
        <f t="shared" ca="1" si="4"/>
        <v>46309.485141898149</v>
      </c>
    </row>
    <row r="153" spans="1:10" ht="15.75" customHeight="1" x14ac:dyDescent="0.35">
      <c r="A153" s="18" t="s">
        <v>71</v>
      </c>
      <c r="B153" s="18" t="s">
        <v>28</v>
      </c>
      <c r="C153" s="18" t="s">
        <v>31</v>
      </c>
      <c r="D153" s="18" t="s">
        <v>26</v>
      </c>
      <c r="E153" s="19">
        <v>870.23</v>
      </c>
      <c r="F153" s="20">
        <v>5</v>
      </c>
      <c r="G153" s="21">
        <v>0.05</v>
      </c>
      <c r="H153" s="22">
        <v>45660</v>
      </c>
      <c r="I153" s="19">
        <v>413.36</v>
      </c>
      <c r="J153" s="23">
        <f t="shared" ca="1" si="4"/>
        <v>46309.485141898149</v>
      </c>
    </row>
    <row r="154" spans="1:10" ht="15.75" customHeight="1" x14ac:dyDescent="0.35">
      <c r="A154" s="18" t="s">
        <v>46</v>
      </c>
      <c r="B154" s="18" t="s">
        <v>40</v>
      </c>
      <c r="C154" s="18" t="s">
        <v>22</v>
      </c>
      <c r="D154" s="18" t="s">
        <v>38</v>
      </c>
      <c r="E154" s="19">
        <v>862.19</v>
      </c>
      <c r="F154" s="20">
        <v>18</v>
      </c>
      <c r="G154" s="21">
        <v>0.05</v>
      </c>
      <c r="H154" s="22">
        <v>45663</v>
      </c>
      <c r="I154" s="19">
        <v>286.68</v>
      </c>
      <c r="J154" s="23">
        <f t="shared" ca="1" si="4"/>
        <v>46309.485141898149</v>
      </c>
    </row>
    <row r="155" spans="1:10" ht="15.75" customHeight="1" x14ac:dyDescent="0.35">
      <c r="A155" s="18" t="s">
        <v>84</v>
      </c>
      <c r="B155" s="18" t="s">
        <v>70</v>
      </c>
      <c r="C155" s="18" t="s">
        <v>35</v>
      </c>
      <c r="D155" s="18" t="s">
        <v>26</v>
      </c>
      <c r="E155" s="19">
        <v>1171.18</v>
      </c>
      <c r="F155" s="20">
        <v>19</v>
      </c>
      <c r="G155" s="21">
        <v>0.05</v>
      </c>
      <c r="H155" s="22">
        <v>45667</v>
      </c>
      <c r="I155" s="19">
        <v>556.30999999999995</v>
      </c>
      <c r="J155" s="23">
        <f t="shared" ca="1" si="4"/>
        <v>46309.485141898149</v>
      </c>
    </row>
    <row r="156" spans="1:10" ht="15.75" customHeight="1" x14ac:dyDescent="0.35">
      <c r="A156" s="18" t="s">
        <v>69</v>
      </c>
      <c r="B156" s="18" t="s">
        <v>25</v>
      </c>
      <c r="C156" s="18" t="s">
        <v>31</v>
      </c>
      <c r="D156" s="18" t="s">
        <v>38</v>
      </c>
      <c r="E156" s="19">
        <v>1054.56</v>
      </c>
      <c r="F156" s="20">
        <v>11</v>
      </c>
      <c r="G156" s="21">
        <v>0.1</v>
      </c>
      <c r="H156" s="22">
        <v>45669</v>
      </c>
      <c r="I156" s="19">
        <v>332.19</v>
      </c>
      <c r="J156" s="23">
        <f t="shared" ca="1" si="4"/>
        <v>46309.485141898149</v>
      </c>
    </row>
    <row r="157" spans="1:10" ht="15.75" customHeight="1" x14ac:dyDescent="0.35">
      <c r="A157" s="18" t="s">
        <v>69</v>
      </c>
      <c r="B157" s="18" t="s">
        <v>34</v>
      </c>
      <c r="C157" s="18" t="s">
        <v>35</v>
      </c>
      <c r="D157" s="18" t="s">
        <v>32</v>
      </c>
      <c r="E157" s="19">
        <v>1681.21</v>
      </c>
      <c r="F157" s="20">
        <v>5</v>
      </c>
      <c r="G157" s="21">
        <v>0.2</v>
      </c>
      <c r="H157" s="22">
        <v>45670</v>
      </c>
      <c r="I157" s="19">
        <v>336.24</v>
      </c>
      <c r="J157" s="23">
        <f t="shared" ca="1" si="4"/>
        <v>46309.485141898149</v>
      </c>
    </row>
    <row r="158" spans="1:10" ht="15.75" customHeight="1" x14ac:dyDescent="0.35">
      <c r="A158" s="18" t="s">
        <v>69</v>
      </c>
      <c r="B158" s="18" t="s">
        <v>47</v>
      </c>
      <c r="C158" s="18" t="s">
        <v>22</v>
      </c>
      <c r="D158" s="18" t="s">
        <v>26</v>
      </c>
      <c r="E158" s="19">
        <v>379.77</v>
      </c>
      <c r="F158" s="20">
        <v>9</v>
      </c>
      <c r="G158" s="21">
        <v>0.05</v>
      </c>
      <c r="H158" s="22">
        <v>45673</v>
      </c>
      <c r="I158" s="19">
        <v>180.39</v>
      </c>
      <c r="J158" s="23">
        <f t="shared" ca="1" si="4"/>
        <v>46309.485141898149</v>
      </c>
    </row>
    <row r="159" spans="1:10" ht="15.75" customHeight="1" x14ac:dyDescent="0.35">
      <c r="A159" s="18" t="s">
        <v>55</v>
      </c>
      <c r="B159" s="18" t="s">
        <v>56</v>
      </c>
      <c r="C159" s="18" t="s">
        <v>45</v>
      </c>
      <c r="D159" s="18" t="s">
        <v>26</v>
      </c>
      <c r="E159" s="19">
        <v>1076.33</v>
      </c>
      <c r="F159" s="20">
        <v>2</v>
      </c>
      <c r="G159" s="21">
        <v>0.1</v>
      </c>
      <c r="H159" s="22">
        <v>45674</v>
      </c>
      <c r="I159" s="19">
        <v>484.35</v>
      </c>
      <c r="J159" s="23">
        <f t="shared" ca="1" si="4"/>
        <v>46309.485141898149</v>
      </c>
    </row>
    <row r="160" spans="1:10" ht="15.75" customHeight="1" x14ac:dyDescent="0.35">
      <c r="A160" s="18" t="s">
        <v>55</v>
      </c>
      <c r="B160" s="18" t="s">
        <v>42</v>
      </c>
      <c r="C160" s="18" t="s">
        <v>45</v>
      </c>
      <c r="D160" s="18" t="s">
        <v>50</v>
      </c>
      <c r="E160" s="19">
        <v>1250.71</v>
      </c>
      <c r="F160" s="20">
        <v>7</v>
      </c>
      <c r="G160" s="21">
        <v>0</v>
      </c>
      <c r="H160" s="22">
        <v>45674</v>
      </c>
      <c r="I160" s="19">
        <v>562.82000000000005</v>
      </c>
      <c r="J160" s="23">
        <f t="shared" ca="1" si="4"/>
        <v>46309.485141898149</v>
      </c>
    </row>
    <row r="161" spans="1:10" ht="15.75" customHeight="1" x14ac:dyDescent="0.35">
      <c r="A161" s="18" t="s">
        <v>51</v>
      </c>
      <c r="B161" s="18" t="s">
        <v>28</v>
      </c>
      <c r="C161" s="18" t="s">
        <v>31</v>
      </c>
      <c r="D161" s="18" t="s">
        <v>26</v>
      </c>
      <c r="E161" s="19">
        <v>1118.3399999999999</v>
      </c>
      <c r="F161" s="20">
        <v>6</v>
      </c>
      <c r="G161" s="21">
        <v>0.2</v>
      </c>
      <c r="H161" s="22">
        <v>45674</v>
      </c>
      <c r="I161" s="19">
        <v>447.34</v>
      </c>
      <c r="J161" s="23">
        <f t="shared" ca="1" si="4"/>
        <v>46309.485141898149</v>
      </c>
    </row>
    <row r="162" spans="1:10" ht="15.75" customHeight="1" x14ac:dyDescent="0.35">
      <c r="A162" s="18" t="s">
        <v>81</v>
      </c>
      <c r="B162" s="18" t="s">
        <v>64</v>
      </c>
      <c r="C162" s="18" t="s">
        <v>35</v>
      </c>
      <c r="D162" s="18" t="s">
        <v>26</v>
      </c>
      <c r="E162" s="19">
        <v>1622.62</v>
      </c>
      <c r="F162" s="20">
        <v>12</v>
      </c>
      <c r="G162" s="21">
        <v>0.2</v>
      </c>
      <c r="H162" s="22">
        <v>45677</v>
      </c>
      <c r="I162" s="19">
        <v>649.04999999999995</v>
      </c>
      <c r="J162" s="23">
        <f t="shared" ref="J162:J193" ca="1" si="5">NOW()</f>
        <v>46309.485141898149</v>
      </c>
    </row>
    <row r="163" spans="1:10" ht="15.75" customHeight="1" x14ac:dyDescent="0.35">
      <c r="A163" s="18" t="s">
        <v>86</v>
      </c>
      <c r="B163" s="18" t="s">
        <v>59</v>
      </c>
      <c r="C163" s="18" t="s">
        <v>35</v>
      </c>
      <c r="D163" s="18" t="s">
        <v>23</v>
      </c>
      <c r="E163" s="19">
        <v>640.64</v>
      </c>
      <c r="F163" s="20">
        <v>11</v>
      </c>
      <c r="G163" s="21">
        <v>0.2</v>
      </c>
      <c r="H163" s="22">
        <v>45678</v>
      </c>
      <c r="I163" s="19">
        <v>205</v>
      </c>
      <c r="J163" s="23">
        <f t="shared" ca="1" si="5"/>
        <v>46309.485141898149</v>
      </c>
    </row>
    <row r="164" spans="1:10" ht="15.75" customHeight="1" x14ac:dyDescent="0.35">
      <c r="A164" s="18" t="s">
        <v>33</v>
      </c>
      <c r="B164" s="18" t="s">
        <v>54</v>
      </c>
      <c r="C164" s="18" t="s">
        <v>22</v>
      </c>
      <c r="D164" s="18" t="s">
        <v>26</v>
      </c>
      <c r="E164" s="19">
        <v>585.16</v>
      </c>
      <c r="F164" s="20">
        <v>17</v>
      </c>
      <c r="G164" s="21">
        <v>0.1</v>
      </c>
      <c r="H164" s="22">
        <v>45684</v>
      </c>
      <c r="I164" s="19">
        <v>263.32</v>
      </c>
      <c r="J164" s="23">
        <f t="shared" ca="1" si="5"/>
        <v>46309.485141898149</v>
      </c>
    </row>
    <row r="165" spans="1:10" ht="15.75" customHeight="1" x14ac:dyDescent="0.35">
      <c r="A165" s="18" t="s">
        <v>33</v>
      </c>
      <c r="B165" s="18" t="s">
        <v>42</v>
      </c>
      <c r="C165" s="18" t="s">
        <v>29</v>
      </c>
      <c r="D165" s="18" t="s">
        <v>26</v>
      </c>
      <c r="E165" s="19">
        <v>1109.98</v>
      </c>
      <c r="F165" s="20">
        <v>5</v>
      </c>
      <c r="G165" s="21">
        <v>0.2</v>
      </c>
      <c r="H165" s="22">
        <v>45690</v>
      </c>
      <c r="I165" s="19">
        <v>443.99</v>
      </c>
      <c r="J165" s="23">
        <f t="shared" ca="1" si="5"/>
        <v>46309.485141898149</v>
      </c>
    </row>
    <row r="166" spans="1:10" ht="15.75" customHeight="1" x14ac:dyDescent="0.35">
      <c r="A166" s="18" t="s">
        <v>69</v>
      </c>
      <c r="B166" s="18" t="s">
        <v>56</v>
      </c>
      <c r="C166" s="18" t="s">
        <v>29</v>
      </c>
      <c r="D166" s="18" t="s">
        <v>23</v>
      </c>
      <c r="E166" s="19">
        <v>1098.08</v>
      </c>
      <c r="F166" s="20">
        <v>9</v>
      </c>
      <c r="G166" s="21">
        <v>0.1</v>
      </c>
      <c r="H166" s="22">
        <v>45692</v>
      </c>
      <c r="I166" s="19">
        <v>395.31</v>
      </c>
      <c r="J166" s="23">
        <f t="shared" ca="1" si="5"/>
        <v>46309.485141898149</v>
      </c>
    </row>
    <row r="167" spans="1:10" ht="15.75" customHeight="1" x14ac:dyDescent="0.35">
      <c r="A167" s="18" t="s">
        <v>76</v>
      </c>
      <c r="B167" s="18" t="s">
        <v>59</v>
      </c>
      <c r="C167" s="18" t="s">
        <v>22</v>
      </c>
      <c r="D167" s="18" t="s">
        <v>50</v>
      </c>
      <c r="E167" s="19">
        <v>827.25</v>
      </c>
      <c r="F167" s="20">
        <v>7</v>
      </c>
      <c r="G167" s="21">
        <v>0.1</v>
      </c>
      <c r="H167" s="22">
        <v>45693</v>
      </c>
      <c r="I167" s="19">
        <v>335.04</v>
      </c>
      <c r="J167" s="23">
        <f t="shared" ca="1" si="5"/>
        <v>46309.485141898149</v>
      </c>
    </row>
    <row r="168" spans="1:10" ht="15.75" customHeight="1" x14ac:dyDescent="0.35">
      <c r="A168" s="18" t="s">
        <v>81</v>
      </c>
      <c r="B168" s="18" t="s">
        <v>40</v>
      </c>
      <c r="C168" s="18" t="s">
        <v>45</v>
      </c>
      <c r="D168" s="18" t="s">
        <v>26</v>
      </c>
      <c r="E168" s="19">
        <v>741.88</v>
      </c>
      <c r="F168" s="20">
        <v>16</v>
      </c>
      <c r="G168" s="21">
        <v>0.1</v>
      </c>
      <c r="H168" s="22">
        <v>45695</v>
      </c>
      <c r="I168" s="19">
        <v>333.85</v>
      </c>
      <c r="J168" s="23">
        <f t="shared" ca="1" si="5"/>
        <v>46309.485141898149</v>
      </c>
    </row>
    <row r="169" spans="1:10" ht="15.75" customHeight="1" x14ac:dyDescent="0.35">
      <c r="A169" s="18" t="s">
        <v>83</v>
      </c>
      <c r="B169" s="18" t="s">
        <v>21</v>
      </c>
      <c r="C169" s="18" t="s">
        <v>29</v>
      </c>
      <c r="D169" s="18" t="s">
        <v>50</v>
      </c>
      <c r="E169" s="19">
        <v>1311.26</v>
      </c>
      <c r="F169" s="20">
        <v>6</v>
      </c>
      <c r="G169" s="21">
        <v>0.1</v>
      </c>
      <c r="H169" s="22">
        <v>45698</v>
      </c>
      <c r="I169" s="19">
        <v>531.05999999999995</v>
      </c>
      <c r="J169" s="23">
        <f t="shared" ca="1" si="5"/>
        <v>46309.485141898149</v>
      </c>
    </row>
    <row r="170" spans="1:10" ht="15.75" customHeight="1" x14ac:dyDescent="0.35">
      <c r="A170" s="18" t="s">
        <v>83</v>
      </c>
      <c r="B170" s="18" t="s">
        <v>42</v>
      </c>
      <c r="C170" s="18" t="s">
        <v>31</v>
      </c>
      <c r="D170" s="18" t="s">
        <v>50</v>
      </c>
      <c r="E170" s="19">
        <v>573.32000000000005</v>
      </c>
      <c r="F170" s="20">
        <v>19</v>
      </c>
      <c r="G170" s="21">
        <v>0.1</v>
      </c>
      <c r="H170" s="22">
        <v>45703</v>
      </c>
      <c r="I170" s="19">
        <v>232.19</v>
      </c>
      <c r="J170" s="23">
        <f t="shared" ca="1" si="5"/>
        <v>46309.485141898149</v>
      </c>
    </row>
    <row r="171" spans="1:10" ht="15.75" customHeight="1" x14ac:dyDescent="0.35">
      <c r="A171" s="18" t="s">
        <v>63</v>
      </c>
      <c r="B171" s="18" t="s">
        <v>34</v>
      </c>
      <c r="C171" s="18" t="s">
        <v>22</v>
      </c>
      <c r="D171" s="18" t="s">
        <v>32</v>
      </c>
      <c r="E171" s="19">
        <v>1115.22</v>
      </c>
      <c r="F171" s="20">
        <v>14</v>
      </c>
      <c r="G171" s="21">
        <v>0.2</v>
      </c>
      <c r="H171" s="22">
        <v>45705</v>
      </c>
      <c r="I171" s="19">
        <v>223.04</v>
      </c>
      <c r="J171" s="23">
        <f t="shared" ca="1" si="5"/>
        <v>46309.485141898149</v>
      </c>
    </row>
    <row r="172" spans="1:10" ht="15.75" customHeight="1" x14ac:dyDescent="0.35">
      <c r="A172" s="18" t="s">
        <v>24</v>
      </c>
      <c r="B172" s="18" t="s">
        <v>56</v>
      </c>
      <c r="C172" s="18" t="s">
        <v>35</v>
      </c>
      <c r="D172" s="18" t="s">
        <v>26</v>
      </c>
      <c r="E172" s="19">
        <v>845.84</v>
      </c>
      <c r="F172" s="20">
        <v>4</v>
      </c>
      <c r="G172" s="21">
        <v>0</v>
      </c>
      <c r="H172" s="22">
        <v>45707</v>
      </c>
      <c r="I172" s="19">
        <v>422.92</v>
      </c>
      <c r="J172" s="23">
        <f t="shared" ca="1" si="5"/>
        <v>46309.485141898149</v>
      </c>
    </row>
    <row r="173" spans="1:10" ht="15.75" customHeight="1" x14ac:dyDescent="0.35">
      <c r="A173" s="18" t="s">
        <v>41</v>
      </c>
      <c r="B173" s="18" t="s">
        <v>66</v>
      </c>
      <c r="C173" s="18" t="s">
        <v>22</v>
      </c>
      <c r="D173" s="18" t="s">
        <v>32</v>
      </c>
      <c r="E173" s="19">
        <v>1029.8</v>
      </c>
      <c r="F173" s="20">
        <v>3</v>
      </c>
      <c r="G173" s="21">
        <v>0</v>
      </c>
      <c r="H173" s="22">
        <v>45708</v>
      </c>
      <c r="I173" s="19">
        <v>257.45</v>
      </c>
      <c r="J173" s="23">
        <f t="shared" ca="1" si="5"/>
        <v>46309.485141898149</v>
      </c>
    </row>
    <row r="174" spans="1:10" ht="15.75" customHeight="1" x14ac:dyDescent="0.35">
      <c r="A174" s="18" t="s">
        <v>43</v>
      </c>
      <c r="B174" s="18" t="s">
        <v>42</v>
      </c>
      <c r="C174" s="18" t="s">
        <v>35</v>
      </c>
      <c r="D174" s="18" t="s">
        <v>23</v>
      </c>
      <c r="E174" s="19">
        <v>1189.83</v>
      </c>
      <c r="F174" s="20">
        <v>2</v>
      </c>
      <c r="G174" s="21">
        <v>0.2</v>
      </c>
      <c r="H174" s="22">
        <v>45709</v>
      </c>
      <c r="I174" s="19">
        <v>380.75</v>
      </c>
      <c r="J174" s="23">
        <f t="shared" ca="1" si="5"/>
        <v>46309.485141898149</v>
      </c>
    </row>
    <row r="175" spans="1:10" ht="15.75" customHeight="1" x14ac:dyDescent="0.35">
      <c r="A175" s="18" t="s">
        <v>78</v>
      </c>
      <c r="B175" s="18" t="s">
        <v>54</v>
      </c>
      <c r="C175" s="18" t="s">
        <v>31</v>
      </c>
      <c r="D175" s="18" t="s">
        <v>23</v>
      </c>
      <c r="E175" s="19">
        <v>704.28</v>
      </c>
      <c r="F175" s="20">
        <v>15</v>
      </c>
      <c r="G175" s="21">
        <v>0.2</v>
      </c>
      <c r="H175" s="22">
        <v>45712</v>
      </c>
      <c r="I175" s="19">
        <v>225.37</v>
      </c>
      <c r="J175" s="23">
        <f t="shared" ca="1" si="5"/>
        <v>46309.485141898149</v>
      </c>
    </row>
    <row r="176" spans="1:10" ht="15.75" customHeight="1" x14ac:dyDescent="0.35">
      <c r="A176" s="18" t="s">
        <v>76</v>
      </c>
      <c r="B176" s="18" t="s">
        <v>58</v>
      </c>
      <c r="C176" s="18" t="s">
        <v>45</v>
      </c>
      <c r="D176" s="18" t="s">
        <v>50</v>
      </c>
      <c r="E176" s="19">
        <v>1618.22</v>
      </c>
      <c r="F176" s="20">
        <v>12</v>
      </c>
      <c r="G176" s="21">
        <v>0.2</v>
      </c>
      <c r="H176" s="22">
        <v>45712</v>
      </c>
      <c r="I176" s="19">
        <v>582.55999999999995</v>
      </c>
      <c r="J176" s="23">
        <f t="shared" ca="1" si="5"/>
        <v>46309.485141898149</v>
      </c>
    </row>
    <row r="177" spans="1:10" ht="15.75" customHeight="1" x14ac:dyDescent="0.35">
      <c r="A177" s="18" t="s">
        <v>84</v>
      </c>
      <c r="B177" s="18" t="s">
        <v>64</v>
      </c>
      <c r="C177" s="18" t="s">
        <v>45</v>
      </c>
      <c r="D177" s="18" t="s">
        <v>23</v>
      </c>
      <c r="E177" s="19">
        <v>1014.43</v>
      </c>
      <c r="F177" s="20">
        <v>2</v>
      </c>
      <c r="G177" s="21">
        <v>0.15</v>
      </c>
      <c r="H177" s="22">
        <v>45713</v>
      </c>
      <c r="I177" s="19">
        <v>344.91</v>
      </c>
      <c r="J177" s="23">
        <f t="shared" ca="1" si="5"/>
        <v>46309.485141898149</v>
      </c>
    </row>
    <row r="178" spans="1:10" ht="15.75" customHeight="1" x14ac:dyDescent="0.35">
      <c r="A178" s="18" t="s">
        <v>86</v>
      </c>
      <c r="B178" s="18" t="s">
        <v>42</v>
      </c>
      <c r="C178" s="18" t="s">
        <v>45</v>
      </c>
      <c r="D178" s="18" t="s">
        <v>26</v>
      </c>
      <c r="E178" s="19">
        <v>826.97</v>
      </c>
      <c r="F178" s="20">
        <v>18</v>
      </c>
      <c r="G178" s="21">
        <v>0.2</v>
      </c>
      <c r="H178" s="22">
        <v>45715</v>
      </c>
      <c r="I178" s="19">
        <v>330.79</v>
      </c>
      <c r="J178" s="23">
        <f t="shared" ca="1" si="5"/>
        <v>46309.485141898149</v>
      </c>
    </row>
    <row r="179" spans="1:10" ht="15.75" customHeight="1" x14ac:dyDescent="0.35">
      <c r="A179" s="18" t="s">
        <v>27</v>
      </c>
      <c r="B179" s="18" t="s">
        <v>42</v>
      </c>
      <c r="C179" s="18" t="s">
        <v>45</v>
      </c>
      <c r="D179" s="18" t="s">
        <v>26</v>
      </c>
      <c r="E179" s="19">
        <v>1022.23</v>
      </c>
      <c r="F179" s="20">
        <v>8</v>
      </c>
      <c r="G179" s="21">
        <v>0.1</v>
      </c>
      <c r="H179" s="22">
        <v>45717</v>
      </c>
      <c r="I179" s="19">
        <v>460</v>
      </c>
      <c r="J179" s="23">
        <f t="shared" ca="1" si="5"/>
        <v>46309.485141898149</v>
      </c>
    </row>
    <row r="180" spans="1:10" ht="15.75" customHeight="1" x14ac:dyDescent="0.35">
      <c r="A180" s="18" t="s">
        <v>83</v>
      </c>
      <c r="B180" s="18" t="s">
        <v>40</v>
      </c>
      <c r="C180" s="18" t="s">
        <v>29</v>
      </c>
      <c r="D180" s="18" t="s">
        <v>23</v>
      </c>
      <c r="E180" s="19">
        <v>1099.69</v>
      </c>
      <c r="F180" s="20">
        <v>6</v>
      </c>
      <c r="G180" s="21">
        <v>0</v>
      </c>
      <c r="H180" s="22">
        <v>45718</v>
      </c>
      <c r="I180" s="19">
        <v>439.88</v>
      </c>
      <c r="J180" s="23">
        <f t="shared" ca="1" si="5"/>
        <v>46309.485141898149</v>
      </c>
    </row>
    <row r="181" spans="1:10" ht="15.75" customHeight="1" x14ac:dyDescent="0.35">
      <c r="A181" s="18" t="s">
        <v>63</v>
      </c>
      <c r="B181" s="18" t="s">
        <v>75</v>
      </c>
      <c r="C181" s="18" t="s">
        <v>35</v>
      </c>
      <c r="D181" s="18" t="s">
        <v>23</v>
      </c>
      <c r="E181" s="19">
        <v>710.52</v>
      </c>
      <c r="F181" s="20">
        <v>8</v>
      </c>
      <c r="G181" s="21">
        <v>0.1</v>
      </c>
      <c r="H181" s="22">
        <v>45721</v>
      </c>
      <c r="I181" s="19">
        <v>255.79</v>
      </c>
      <c r="J181" s="23">
        <f t="shared" ca="1" si="5"/>
        <v>46309.485141898149</v>
      </c>
    </row>
    <row r="182" spans="1:10" ht="15.75" customHeight="1" x14ac:dyDescent="0.35">
      <c r="A182" s="18" t="s">
        <v>63</v>
      </c>
      <c r="B182" s="18" t="s">
        <v>70</v>
      </c>
      <c r="C182" s="18" t="s">
        <v>35</v>
      </c>
      <c r="D182" s="18" t="s">
        <v>23</v>
      </c>
      <c r="E182" s="19">
        <v>499.18</v>
      </c>
      <c r="F182" s="20">
        <v>15</v>
      </c>
      <c r="G182" s="21">
        <v>0.2</v>
      </c>
      <c r="H182" s="22">
        <v>45724</v>
      </c>
      <c r="I182" s="19">
        <v>159.74</v>
      </c>
      <c r="J182" s="23">
        <f t="shared" ca="1" si="5"/>
        <v>46309.485141898149</v>
      </c>
    </row>
    <row r="183" spans="1:10" ht="15.75" customHeight="1" x14ac:dyDescent="0.35">
      <c r="A183" s="18" t="s">
        <v>48</v>
      </c>
      <c r="B183" s="18" t="s">
        <v>49</v>
      </c>
      <c r="C183" s="18" t="s">
        <v>31</v>
      </c>
      <c r="D183" s="18" t="s">
        <v>23</v>
      </c>
      <c r="E183" s="19">
        <v>1064.19</v>
      </c>
      <c r="F183" s="20">
        <v>18</v>
      </c>
      <c r="G183" s="21">
        <v>0.05</v>
      </c>
      <c r="H183" s="22">
        <v>45725</v>
      </c>
      <c r="I183" s="19">
        <v>404.39</v>
      </c>
      <c r="J183" s="23">
        <f t="shared" ca="1" si="5"/>
        <v>46309.485141898149</v>
      </c>
    </row>
    <row r="184" spans="1:10" ht="15.75" customHeight="1" x14ac:dyDescent="0.35">
      <c r="A184" s="18" t="s">
        <v>78</v>
      </c>
      <c r="B184" s="18" t="s">
        <v>49</v>
      </c>
      <c r="C184" s="18" t="s">
        <v>29</v>
      </c>
      <c r="D184" s="18" t="s">
        <v>50</v>
      </c>
      <c r="E184" s="19">
        <v>438.76</v>
      </c>
      <c r="F184" s="20">
        <v>18</v>
      </c>
      <c r="G184" s="21">
        <v>0.05</v>
      </c>
      <c r="H184" s="22">
        <v>45726</v>
      </c>
      <c r="I184" s="19">
        <v>187.57</v>
      </c>
      <c r="J184" s="23">
        <f t="shared" ca="1" si="5"/>
        <v>46309.485141898149</v>
      </c>
    </row>
    <row r="185" spans="1:10" ht="15.75" customHeight="1" x14ac:dyDescent="0.35">
      <c r="A185" s="18" t="s">
        <v>52</v>
      </c>
      <c r="B185" s="18" t="s">
        <v>66</v>
      </c>
      <c r="C185" s="18" t="s">
        <v>22</v>
      </c>
      <c r="D185" s="18" t="s">
        <v>26</v>
      </c>
      <c r="E185" s="19">
        <v>864.98</v>
      </c>
      <c r="F185" s="20">
        <v>2</v>
      </c>
      <c r="G185" s="21">
        <v>0.05</v>
      </c>
      <c r="H185" s="22">
        <v>45727</v>
      </c>
      <c r="I185" s="19">
        <v>410.87</v>
      </c>
      <c r="J185" s="23">
        <f t="shared" ca="1" si="5"/>
        <v>46309.485141898149</v>
      </c>
    </row>
    <row r="186" spans="1:10" ht="15.75" customHeight="1" x14ac:dyDescent="0.35">
      <c r="A186" s="18" t="s">
        <v>68</v>
      </c>
      <c r="B186" s="18" t="s">
        <v>66</v>
      </c>
      <c r="C186" s="18" t="s">
        <v>22</v>
      </c>
      <c r="D186" s="18" t="s">
        <v>38</v>
      </c>
      <c r="E186" s="19">
        <v>984.93</v>
      </c>
      <c r="F186" s="20">
        <v>14</v>
      </c>
      <c r="G186" s="21">
        <v>0.2</v>
      </c>
      <c r="H186" s="22">
        <v>45733</v>
      </c>
      <c r="I186" s="19">
        <v>275.77999999999997</v>
      </c>
      <c r="J186" s="23">
        <f t="shared" ca="1" si="5"/>
        <v>46309.485141898149</v>
      </c>
    </row>
    <row r="187" spans="1:10" ht="15.75" customHeight="1" x14ac:dyDescent="0.35">
      <c r="A187" s="18" t="s">
        <v>36</v>
      </c>
      <c r="B187" s="18" t="s">
        <v>66</v>
      </c>
      <c r="C187" s="18" t="s">
        <v>22</v>
      </c>
      <c r="D187" s="18" t="s">
        <v>26</v>
      </c>
      <c r="E187" s="19">
        <v>1493.49</v>
      </c>
      <c r="F187" s="20">
        <v>18</v>
      </c>
      <c r="G187" s="21">
        <v>0</v>
      </c>
      <c r="H187" s="22">
        <v>45734</v>
      </c>
      <c r="I187" s="19">
        <v>746.74</v>
      </c>
      <c r="J187" s="23">
        <f t="shared" ca="1" si="5"/>
        <v>46309.485141898149</v>
      </c>
    </row>
    <row r="188" spans="1:10" ht="15.75" customHeight="1" x14ac:dyDescent="0.35">
      <c r="A188" s="18" t="s">
        <v>43</v>
      </c>
      <c r="B188" s="18" t="s">
        <v>64</v>
      </c>
      <c r="C188" s="18" t="s">
        <v>31</v>
      </c>
      <c r="D188" s="18" t="s">
        <v>26</v>
      </c>
      <c r="E188" s="19">
        <v>689.43</v>
      </c>
      <c r="F188" s="20">
        <v>9</v>
      </c>
      <c r="G188" s="21">
        <v>0.1</v>
      </c>
      <c r="H188" s="22">
        <v>45736</v>
      </c>
      <c r="I188" s="19">
        <v>310.24</v>
      </c>
      <c r="J188" s="23">
        <f t="shared" ca="1" si="5"/>
        <v>46309.485141898149</v>
      </c>
    </row>
    <row r="189" spans="1:10" ht="15.75" customHeight="1" x14ac:dyDescent="0.35">
      <c r="A189" s="18" t="s">
        <v>51</v>
      </c>
      <c r="B189" s="18" t="s">
        <v>70</v>
      </c>
      <c r="C189" s="18" t="s">
        <v>31</v>
      </c>
      <c r="D189" s="18" t="s">
        <v>26</v>
      </c>
      <c r="E189" s="19">
        <v>682.24</v>
      </c>
      <c r="F189" s="20">
        <v>1</v>
      </c>
      <c r="G189" s="21">
        <v>0</v>
      </c>
      <c r="H189" s="22">
        <v>45738</v>
      </c>
      <c r="I189" s="19">
        <v>341.12</v>
      </c>
      <c r="J189" s="23">
        <f t="shared" ca="1" si="5"/>
        <v>46309.485141898149</v>
      </c>
    </row>
    <row r="190" spans="1:10" ht="15.75" customHeight="1" x14ac:dyDescent="0.35">
      <c r="A190" s="18" t="s">
        <v>52</v>
      </c>
      <c r="B190" s="18" t="s">
        <v>37</v>
      </c>
      <c r="C190" s="18" t="s">
        <v>35</v>
      </c>
      <c r="D190" s="18" t="s">
        <v>32</v>
      </c>
      <c r="E190" s="19">
        <v>458.54</v>
      </c>
      <c r="F190" s="20">
        <v>15</v>
      </c>
      <c r="G190" s="21">
        <v>0.2</v>
      </c>
      <c r="H190" s="22">
        <v>45741</v>
      </c>
      <c r="I190" s="19">
        <v>91.71</v>
      </c>
      <c r="J190" s="23">
        <f t="shared" ca="1" si="5"/>
        <v>46309.485141898149</v>
      </c>
    </row>
    <row r="191" spans="1:10" ht="15.75" customHeight="1" x14ac:dyDescent="0.35">
      <c r="A191" s="18" t="s">
        <v>43</v>
      </c>
      <c r="B191" s="18" t="s">
        <v>37</v>
      </c>
      <c r="C191" s="18" t="s">
        <v>31</v>
      </c>
      <c r="D191" s="18" t="s">
        <v>38</v>
      </c>
      <c r="E191" s="19">
        <v>1184.25</v>
      </c>
      <c r="F191" s="20">
        <v>11</v>
      </c>
      <c r="G191" s="21">
        <v>0.2</v>
      </c>
      <c r="H191" s="22">
        <v>45742</v>
      </c>
      <c r="I191" s="19">
        <v>331.59</v>
      </c>
      <c r="J191" s="23">
        <f t="shared" ca="1" si="5"/>
        <v>46309.485141898149</v>
      </c>
    </row>
    <row r="192" spans="1:10" ht="15.75" customHeight="1" x14ac:dyDescent="0.35">
      <c r="A192" s="18" t="s">
        <v>36</v>
      </c>
      <c r="B192" s="18" t="s">
        <v>21</v>
      </c>
      <c r="C192" s="18" t="s">
        <v>31</v>
      </c>
      <c r="D192" s="18" t="s">
        <v>26</v>
      </c>
      <c r="E192" s="19">
        <v>762.14</v>
      </c>
      <c r="F192" s="20">
        <v>9</v>
      </c>
      <c r="G192" s="21">
        <v>0</v>
      </c>
      <c r="H192" s="22">
        <v>45743</v>
      </c>
      <c r="I192" s="19">
        <v>381.07</v>
      </c>
      <c r="J192" s="23">
        <f t="shared" ca="1" si="5"/>
        <v>46309.485141898149</v>
      </c>
    </row>
    <row r="193" spans="1:10" ht="15.75" customHeight="1" x14ac:dyDescent="0.35">
      <c r="A193" s="18" t="s">
        <v>33</v>
      </c>
      <c r="B193" s="18" t="s">
        <v>64</v>
      </c>
      <c r="C193" s="18" t="s">
        <v>35</v>
      </c>
      <c r="D193" s="18" t="s">
        <v>23</v>
      </c>
      <c r="E193" s="19">
        <v>750.71</v>
      </c>
      <c r="F193" s="20">
        <v>10</v>
      </c>
      <c r="G193" s="21">
        <v>0.15</v>
      </c>
      <c r="H193" s="22">
        <v>45743</v>
      </c>
      <c r="I193" s="19">
        <v>255.24</v>
      </c>
      <c r="J193" s="23">
        <f t="shared" ca="1" si="5"/>
        <v>46309.485141898149</v>
      </c>
    </row>
    <row r="194" spans="1:10" ht="15.75" customHeight="1" x14ac:dyDescent="0.35">
      <c r="A194" s="18" t="s">
        <v>86</v>
      </c>
      <c r="B194" s="18" t="s">
        <v>82</v>
      </c>
      <c r="C194" s="18" t="s">
        <v>45</v>
      </c>
      <c r="D194" s="18" t="s">
        <v>26</v>
      </c>
      <c r="E194" s="19">
        <v>1456.94</v>
      </c>
      <c r="F194" s="20">
        <v>14</v>
      </c>
      <c r="G194" s="21">
        <v>0.05</v>
      </c>
      <c r="H194" s="22">
        <v>45745</v>
      </c>
      <c r="I194" s="19">
        <v>692.05</v>
      </c>
      <c r="J194" s="23">
        <f t="shared" ref="J194:J201" ca="1" si="6">NOW()</f>
        <v>46309.485141898149</v>
      </c>
    </row>
    <row r="195" spans="1:10" ht="15.75" customHeight="1" x14ac:dyDescent="0.35">
      <c r="A195" s="18" t="s">
        <v>55</v>
      </c>
      <c r="B195" s="18" t="s">
        <v>72</v>
      </c>
      <c r="C195" s="18" t="s">
        <v>29</v>
      </c>
      <c r="D195" s="18" t="s">
        <v>38</v>
      </c>
      <c r="E195" s="19">
        <v>1093.3800000000001</v>
      </c>
      <c r="F195" s="20">
        <v>17</v>
      </c>
      <c r="G195" s="21">
        <v>0.1</v>
      </c>
      <c r="H195" s="22">
        <v>45745</v>
      </c>
      <c r="I195" s="19">
        <v>344.41</v>
      </c>
      <c r="J195" s="23">
        <f t="shared" ca="1" si="6"/>
        <v>46309.485141898149</v>
      </c>
    </row>
    <row r="196" spans="1:10" ht="15.75" customHeight="1" x14ac:dyDescent="0.35">
      <c r="A196" s="18" t="s">
        <v>48</v>
      </c>
      <c r="B196" s="18" t="s">
        <v>54</v>
      </c>
      <c r="C196" s="18" t="s">
        <v>22</v>
      </c>
      <c r="D196" s="18" t="s">
        <v>26</v>
      </c>
      <c r="E196" s="19">
        <v>934.27</v>
      </c>
      <c r="F196" s="20">
        <v>8</v>
      </c>
      <c r="G196" s="21">
        <v>0.15</v>
      </c>
      <c r="H196" s="22">
        <v>45746</v>
      </c>
      <c r="I196" s="19">
        <v>397.06</v>
      </c>
      <c r="J196" s="23">
        <f t="shared" ca="1" si="6"/>
        <v>46309.485141898149</v>
      </c>
    </row>
    <row r="197" spans="1:10" ht="15.75" customHeight="1" x14ac:dyDescent="0.35">
      <c r="A197" s="18" t="s">
        <v>81</v>
      </c>
      <c r="B197" s="18" t="s">
        <v>47</v>
      </c>
      <c r="C197" s="18" t="s">
        <v>45</v>
      </c>
      <c r="D197" s="18" t="s">
        <v>26</v>
      </c>
      <c r="E197" s="19">
        <v>1465.35</v>
      </c>
      <c r="F197" s="20">
        <v>8</v>
      </c>
      <c r="G197" s="21">
        <v>0.2</v>
      </c>
      <c r="H197" s="22">
        <v>45746</v>
      </c>
      <c r="I197" s="19">
        <v>586.14</v>
      </c>
      <c r="J197" s="23">
        <f t="shared" ca="1" si="6"/>
        <v>46309.485141898149</v>
      </c>
    </row>
    <row r="198" spans="1:10" ht="15.75" customHeight="1" x14ac:dyDescent="0.35">
      <c r="A198" s="18" t="s">
        <v>63</v>
      </c>
      <c r="B198" s="18" t="s">
        <v>25</v>
      </c>
      <c r="C198" s="18" t="s">
        <v>31</v>
      </c>
      <c r="D198" s="18" t="s">
        <v>50</v>
      </c>
      <c r="E198" s="19">
        <v>740.8</v>
      </c>
      <c r="F198" s="20">
        <v>3</v>
      </c>
      <c r="G198" s="21">
        <v>0</v>
      </c>
      <c r="H198" s="22">
        <v>45749</v>
      </c>
      <c r="I198" s="19">
        <v>333.36</v>
      </c>
      <c r="J198" s="23">
        <f t="shared" ca="1" si="6"/>
        <v>46309.485141898149</v>
      </c>
    </row>
    <row r="199" spans="1:10" ht="15.75" customHeight="1" x14ac:dyDescent="0.35">
      <c r="A199" s="18" t="s">
        <v>69</v>
      </c>
      <c r="B199" s="18" t="s">
        <v>54</v>
      </c>
      <c r="C199" s="18" t="s">
        <v>22</v>
      </c>
      <c r="D199" s="18" t="s">
        <v>50</v>
      </c>
      <c r="E199" s="19">
        <v>545.44000000000005</v>
      </c>
      <c r="F199" s="20">
        <v>17</v>
      </c>
      <c r="G199" s="21">
        <v>0</v>
      </c>
      <c r="H199" s="22">
        <v>45752</v>
      </c>
      <c r="I199" s="19">
        <v>245.45</v>
      </c>
      <c r="J199" s="23">
        <f t="shared" ca="1" si="6"/>
        <v>46309.485141898149</v>
      </c>
    </row>
    <row r="200" spans="1:10" ht="15.75" customHeight="1" x14ac:dyDescent="0.35">
      <c r="A200" s="18" t="s">
        <v>46</v>
      </c>
      <c r="B200" s="18" t="s">
        <v>47</v>
      </c>
      <c r="C200" s="18" t="s">
        <v>29</v>
      </c>
      <c r="D200" s="18" t="s">
        <v>23</v>
      </c>
      <c r="E200" s="19">
        <v>997.61</v>
      </c>
      <c r="F200" s="20">
        <v>8</v>
      </c>
      <c r="G200" s="21">
        <v>0.05</v>
      </c>
      <c r="H200" s="22">
        <v>45752</v>
      </c>
      <c r="I200" s="19">
        <v>379.09</v>
      </c>
      <c r="J200" s="23">
        <f t="shared" ca="1" si="6"/>
        <v>46309.485141898149</v>
      </c>
    </row>
    <row r="201" spans="1:10" ht="15.75" customHeight="1" x14ac:dyDescent="0.35">
      <c r="A201" s="18" t="s">
        <v>71</v>
      </c>
      <c r="B201" s="18" t="s">
        <v>47</v>
      </c>
      <c r="C201" s="18" t="s">
        <v>31</v>
      </c>
      <c r="D201" s="18" t="s">
        <v>26</v>
      </c>
      <c r="E201" s="19">
        <v>928.32</v>
      </c>
      <c r="F201" s="20">
        <v>2</v>
      </c>
      <c r="G201" s="21">
        <v>0.05</v>
      </c>
      <c r="H201" s="22">
        <v>45754</v>
      </c>
      <c r="I201" s="19">
        <v>440.95</v>
      </c>
      <c r="J201" s="23">
        <f t="shared" ca="1" si="6"/>
        <v>46309.485141898149</v>
      </c>
    </row>
    <row r="202" spans="1:10" ht="15.75" customHeight="1" x14ac:dyDescent="0.35"/>
    <row r="203" spans="1:10" ht="15.75" customHeight="1" x14ac:dyDescent="0.35"/>
    <row r="204" spans="1:10" ht="15.75" customHeight="1" x14ac:dyDescent="0.35"/>
    <row r="205" spans="1:10" ht="15.75" customHeight="1" x14ac:dyDescent="0.35"/>
    <row r="206" spans="1:10" ht="15.75" customHeight="1" x14ac:dyDescent="0.35"/>
    <row r="207" spans="1:10" ht="15.75" customHeight="1" x14ac:dyDescent="0.35"/>
    <row r="208" spans="1:10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1:J201" xr:uid="{00000000-0009-0000-0000-000002000000}"/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O40"/>
  <sheetViews>
    <sheetView showGridLines="0" zoomScaleNormal="100" workbookViewId="0">
      <pane ySplit="9" topLeftCell="A10" activePane="bottomLeft" state="frozen"/>
      <selection pane="bottomLeft" sqref="A1:O1"/>
    </sheetView>
  </sheetViews>
  <sheetFormatPr defaultColWidth="8.6328125" defaultRowHeight="14.5" x14ac:dyDescent="0.35"/>
  <cols>
    <col min="1" max="1" width="36" customWidth="1"/>
    <col min="2" max="2" width="14" customWidth="1"/>
    <col min="3" max="4" width="15" customWidth="1"/>
    <col min="5" max="5" width="16" customWidth="1"/>
    <col min="6" max="6" width="14" customWidth="1"/>
    <col min="7" max="7" width="12" customWidth="1"/>
    <col min="8" max="8" width="13" customWidth="1"/>
    <col min="9" max="9" width="3" customWidth="1"/>
    <col min="10" max="10" width="8" customWidth="1"/>
    <col min="11" max="11" width="14" customWidth="1"/>
    <col min="12" max="13" width="15" customWidth="1"/>
    <col min="14" max="14" width="10" customWidth="1"/>
    <col min="15" max="15" width="13" customWidth="1"/>
  </cols>
  <sheetData>
    <row r="1" spans="1:15" ht="31.5" customHeight="1" x14ac:dyDescent="0.35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9.5" customHeight="1" x14ac:dyDescent="0.35">
      <c r="A2" s="13" t="s">
        <v>88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4" spans="1:15" ht="15" customHeight="1" x14ac:dyDescent="0.35">
      <c r="A4" s="1" t="s">
        <v>89</v>
      </c>
      <c r="B4" s="1"/>
      <c r="C4" s="1"/>
      <c r="D4" s="1"/>
      <c r="E4" s="1"/>
      <c r="F4" s="1"/>
      <c r="G4" s="1"/>
      <c r="H4" s="1"/>
      <c r="J4" s="1" t="s">
        <v>90</v>
      </c>
      <c r="K4" s="1"/>
      <c r="L4" s="1"/>
      <c r="M4" s="1"/>
      <c r="N4" s="1"/>
      <c r="O4" s="1"/>
    </row>
    <row r="5" spans="1:15" ht="15" customHeight="1" x14ac:dyDescent="0.35">
      <c r="A5" s="24" t="s">
        <v>91</v>
      </c>
      <c r="B5" s="25">
        <v>0.75</v>
      </c>
      <c r="J5" s="71" t="s">
        <v>92</v>
      </c>
      <c r="K5" s="71"/>
      <c r="L5" s="71"/>
      <c r="M5" s="71"/>
      <c r="N5" s="71"/>
      <c r="O5" s="71"/>
    </row>
    <row r="6" spans="1:15" ht="15" customHeight="1" x14ac:dyDescent="0.35">
      <c r="A6" s="24" t="s">
        <v>93</v>
      </c>
      <c r="B6" s="26">
        <f>PERCENTILE($C$10:$C$39,B5)</f>
        <v>8236.4274999999998</v>
      </c>
      <c r="J6" s="72" t="s">
        <v>94</v>
      </c>
      <c r="K6" s="72"/>
      <c r="L6" s="72"/>
      <c r="M6" s="72"/>
      <c r="N6" s="72"/>
      <c r="O6" s="72"/>
    </row>
    <row r="7" spans="1:15" ht="15" customHeight="1" x14ac:dyDescent="0.35">
      <c r="A7" s="24" t="s">
        <v>95</v>
      </c>
      <c r="B7" s="27">
        <f>COUNTIF($H$10:$H$39,"High-Value")</f>
        <v>8</v>
      </c>
      <c r="J7" s="73" t="s">
        <v>96</v>
      </c>
      <c r="K7" s="73"/>
      <c r="L7" s="73"/>
      <c r="M7" s="73"/>
      <c r="N7" s="73"/>
      <c r="O7" s="73"/>
    </row>
    <row r="8" spans="1:15" ht="15" customHeight="1" x14ac:dyDescent="0.35">
      <c r="J8" s="1" t="s">
        <v>97</v>
      </c>
      <c r="K8" s="1"/>
      <c r="L8" s="1"/>
      <c r="M8" s="1"/>
      <c r="N8" s="1"/>
      <c r="O8" s="1"/>
    </row>
    <row r="9" spans="1:15" ht="30" customHeight="1" x14ac:dyDescent="0.35">
      <c r="A9" s="28" t="s">
        <v>9</v>
      </c>
      <c r="B9" s="28" t="s">
        <v>98</v>
      </c>
      <c r="C9" s="28" t="s">
        <v>99</v>
      </c>
      <c r="D9" s="28" t="s">
        <v>100</v>
      </c>
      <c r="E9" s="28" t="s">
        <v>101</v>
      </c>
      <c r="F9" s="28" t="s">
        <v>102</v>
      </c>
      <c r="G9" s="28" t="s">
        <v>103</v>
      </c>
      <c r="H9" s="28" t="s">
        <v>104</v>
      </c>
      <c r="J9" s="28" t="s">
        <v>105</v>
      </c>
      <c r="K9" s="28" t="s">
        <v>9</v>
      </c>
      <c r="L9" s="28" t="s">
        <v>99</v>
      </c>
      <c r="M9" s="28" t="s">
        <v>100</v>
      </c>
      <c r="N9" s="28" t="s">
        <v>98</v>
      </c>
      <c r="O9" s="28" t="s">
        <v>104</v>
      </c>
    </row>
    <row r="10" spans="1:15" x14ac:dyDescent="0.35">
      <c r="A10" s="29" t="s">
        <v>39</v>
      </c>
      <c r="B10" s="27">
        <f>COUNTIF(Dataset!$A$2:$A$201,$A10)</f>
        <v>7</v>
      </c>
      <c r="C10" s="19">
        <f>SUMIF(Dataset!$A$2:$A$201,$A10,Dataset!$E$2:$E$201)</f>
        <v>6549.55</v>
      </c>
      <c r="D10" s="19">
        <f>SUMIF(Dataset!$A$2:$A$201,$A10,Dataset!$I$2:$I$201)</f>
        <v>1868.7700000000004</v>
      </c>
      <c r="E10" s="19">
        <f t="shared" ref="E10:E40" si="0">IF(B10=0,0,C10/B10)</f>
        <v>935.65</v>
      </c>
      <c r="F10" s="30">
        <f t="shared" ref="F10:F40" si="1">IF(C10=0,0,D10/C10)</f>
        <v>0.28532799963356265</v>
      </c>
      <c r="G10" s="31">
        <f>RANK(C10,$C$10:$C$39,0)+COUNTIF($C$10:C10,C10)-1</f>
        <v>15</v>
      </c>
      <c r="H10" s="29" t="str">
        <f t="shared" ref="H10:H39" si="2">IF(C10&gt;=$B$6,"High-Value","Regular")</f>
        <v>Regular</v>
      </c>
      <c r="J10" s="31">
        <v>1</v>
      </c>
      <c r="K10" s="29" t="str">
        <f t="shared" ref="K10:K19" si="3">INDEX($A$10:$A$39,MATCH($J10,$G$10:$G$39,0))</f>
        <v>CUST015</v>
      </c>
      <c r="L10" s="19">
        <f t="shared" ref="L10:L19" si="4">INDEX($C$10:$C$39,MATCH($J10,$G$10:$G$39,0))</f>
        <v>11611.060000000001</v>
      </c>
      <c r="M10" s="19">
        <f t="shared" ref="M10:M19" si="5">INDEX($D$10:$D$39,MATCH($J10,$G$10:$G$39,0))</f>
        <v>4201.59</v>
      </c>
      <c r="N10" s="31">
        <f t="shared" ref="N10:N19" si="6">INDEX($B$10:$B$39,MATCH($J10,$G$10:$G$39,0))</f>
        <v>11</v>
      </c>
      <c r="O10" s="29" t="str">
        <f t="shared" ref="O10:O19" si="7">INDEX($H$10:$H$39,MATCH($J10,$G$10:$G$39,0))</f>
        <v>High-Value</v>
      </c>
    </row>
    <row r="11" spans="1:15" x14ac:dyDescent="0.35">
      <c r="A11" s="29" t="s">
        <v>76</v>
      </c>
      <c r="B11" s="27">
        <f>COUNTIF(Dataset!$A$2:$A$201,$A11)</f>
        <v>6</v>
      </c>
      <c r="C11" s="19">
        <f>SUMIF(Dataset!$A$2:$A$201,$A11,Dataset!$E$2:$E$201)</f>
        <v>6481.43</v>
      </c>
      <c r="D11" s="19">
        <f>SUMIF(Dataset!$A$2:$A$201,$A11,Dataset!$I$2:$I$201)</f>
        <v>2210.7399999999998</v>
      </c>
      <c r="E11" s="19">
        <f t="shared" si="0"/>
        <v>1080.2383333333335</v>
      </c>
      <c r="F11" s="30">
        <f t="shared" si="1"/>
        <v>0.34108830921571315</v>
      </c>
      <c r="G11" s="31">
        <f>RANK(C11,$C$10:$C$39,0)+COUNTIF($C$10:C11,C11)-1</f>
        <v>17</v>
      </c>
      <c r="H11" s="29" t="str">
        <f t="shared" si="2"/>
        <v>Regular</v>
      </c>
      <c r="J11" s="31">
        <v>2</v>
      </c>
      <c r="K11" s="29" t="str">
        <f t="shared" si="3"/>
        <v>CUST028</v>
      </c>
      <c r="L11" s="19">
        <f t="shared" si="4"/>
        <v>10293.870000000001</v>
      </c>
      <c r="M11" s="19">
        <f t="shared" si="5"/>
        <v>3541.02</v>
      </c>
      <c r="N11" s="31">
        <f t="shared" si="6"/>
        <v>12</v>
      </c>
      <c r="O11" s="29" t="str">
        <f t="shared" si="7"/>
        <v>High-Value</v>
      </c>
    </row>
    <row r="12" spans="1:15" x14ac:dyDescent="0.35">
      <c r="A12" s="29" t="s">
        <v>78</v>
      </c>
      <c r="B12" s="27">
        <f>COUNTIF(Dataset!$A$2:$A$201,$A12)</f>
        <v>9</v>
      </c>
      <c r="C12" s="19">
        <f>SUMIF(Dataset!$A$2:$A$201,$A12,Dataset!$E$2:$E$201)</f>
        <v>8490.18</v>
      </c>
      <c r="D12" s="19">
        <f>SUMIF(Dataset!$A$2:$A$201,$A12,Dataset!$I$2:$I$201)</f>
        <v>2652.75</v>
      </c>
      <c r="E12" s="19">
        <f t="shared" si="0"/>
        <v>943.35333333333335</v>
      </c>
      <c r="F12" s="30">
        <f t="shared" si="1"/>
        <v>0.31244920602390053</v>
      </c>
      <c r="G12" s="31">
        <f>RANK(C12,$C$10:$C$39,0)+COUNTIF($C$10:C12,C12)-1</f>
        <v>7</v>
      </c>
      <c r="H12" s="29" t="str">
        <f t="shared" si="2"/>
        <v>High-Value</v>
      </c>
      <c r="J12" s="31">
        <v>3</v>
      </c>
      <c r="K12" s="29" t="str">
        <f t="shared" si="3"/>
        <v>CUST007</v>
      </c>
      <c r="L12" s="19">
        <f t="shared" si="4"/>
        <v>9941.8799999999992</v>
      </c>
      <c r="M12" s="19">
        <f t="shared" si="5"/>
        <v>3936.2599999999998</v>
      </c>
      <c r="N12" s="31">
        <f t="shared" si="6"/>
        <v>10</v>
      </c>
      <c r="O12" s="29" t="str">
        <f t="shared" si="7"/>
        <v>High-Value</v>
      </c>
    </row>
    <row r="13" spans="1:15" x14ac:dyDescent="0.35">
      <c r="A13" s="29" t="s">
        <v>83</v>
      </c>
      <c r="B13" s="27">
        <f>COUNTIF(Dataset!$A$2:$A$201,$A13)</f>
        <v>7</v>
      </c>
      <c r="C13" s="19">
        <f>SUMIF(Dataset!$A$2:$A$201,$A13,Dataset!$E$2:$E$201)</f>
        <v>7813.59</v>
      </c>
      <c r="D13" s="19">
        <f>SUMIF(Dataset!$A$2:$A$201,$A13,Dataset!$I$2:$I$201)</f>
        <v>3211.82</v>
      </c>
      <c r="E13" s="19">
        <f t="shared" si="0"/>
        <v>1116.2271428571428</v>
      </c>
      <c r="F13" s="30">
        <f t="shared" si="1"/>
        <v>0.41105560952135961</v>
      </c>
      <c r="G13" s="31">
        <f>RANK(C13,$C$10:$C$39,0)+COUNTIF($C$10:C13,C13)-1</f>
        <v>10</v>
      </c>
      <c r="H13" s="29" t="str">
        <f t="shared" si="2"/>
        <v>Regular</v>
      </c>
      <c r="J13" s="31">
        <v>4</v>
      </c>
      <c r="K13" s="29" t="str">
        <f t="shared" si="3"/>
        <v>CUST008</v>
      </c>
      <c r="L13" s="19">
        <f t="shared" si="4"/>
        <v>9760.7999999999993</v>
      </c>
      <c r="M13" s="19">
        <f t="shared" si="5"/>
        <v>3442.48</v>
      </c>
      <c r="N13" s="31">
        <f t="shared" si="6"/>
        <v>10</v>
      </c>
      <c r="O13" s="29" t="str">
        <f t="shared" si="7"/>
        <v>High-Value</v>
      </c>
    </row>
    <row r="14" spans="1:15" x14ac:dyDescent="0.35">
      <c r="A14" s="29" t="s">
        <v>30</v>
      </c>
      <c r="B14" s="27">
        <f>COUNTIF(Dataset!$A$2:$A$201,$A14)</f>
        <v>6</v>
      </c>
      <c r="C14" s="19">
        <f>SUMIF(Dataset!$A$2:$A$201,$A14,Dataset!$E$2:$E$201)</f>
        <v>6666.130000000001</v>
      </c>
      <c r="D14" s="19">
        <f>SUMIF(Dataset!$A$2:$A$201,$A14,Dataset!$I$2:$I$201)</f>
        <v>1982.3899999999999</v>
      </c>
      <c r="E14" s="19">
        <f t="shared" si="0"/>
        <v>1111.0216666666668</v>
      </c>
      <c r="F14" s="30">
        <f t="shared" si="1"/>
        <v>0.29738243928636249</v>
      </c>
      <c r="G14" s="31">
        <f>RANK(C14,$C$10:$C$39,0)+COUNTIF($C$10:C14,C14)-1</f>
        <v>14</v>
      </c>
      <c r="H14" s="29" t="str">
        <f t="shared" si="2"/>
        <v>Regular</v>
      </c>
      <c r="J14" s="31">
        <v>5</v>
      </c>
      <c r="K14" s="29" t="str">
        <f t="shared" si="3"/>
        <v>CUST026</v>
      </c>
      <c r="L14" s="19">
        <f t="shared" si="4"/>
        <v>9371.81</v>
      </c>
      <c r="M14" s="19">
        <f t="shared" si="5"/>
        <v>2922.0199999999995</v>
      </c>
      <c r="N14" s="31">
        <f t="shared" si="6"/>
        <v>9</v>
      </c>
      <c r="O14" s="29" t="str">
        <f t="shared" si="7"/>
        <v>High-Value</v>
      </c>
    </row>
    <row r="15" spans="1:15" x14ac:dyDescent="0.35">
      <c r="A15" s="29" t="s">
        <v>57</v>
      </c>
      <c r="B15" s="27">
        <f>COUNTIF(Dataset!$A$2:$A$201,$A15)</f>
        <v>2</v>
      </c>
      <c r="C15" s="19">
        <f>SUMIF(Dataset!$A$2:$A$201,$A15,Dataset!$E$2:$E$201)</f>
        <v>2699.75</v>
      </c>
      <c r="D15" s="19">
        <f>SUMIF(Dataset!$A$2:$A$201,$A15,Dataset!$I$2:$I$201)</f>
        <v>837.06</v>
      </c>
      <c r="E15" s="19">
        <f t="shared" si="0"/>
        <v>1349.875</v>
      </c>
      <c r="F15" s="30">
        <f t="shared" si="1"/>
        <v>0.31005093064172606</v>
      </c>
      <c r="G15" s="31">
        <f>RANK(C15,$C$10:$C$39,0)+COUNTIF($C$10:C15,C15)-1</f>
        <v>30</v>
      </c>
      <c r="H15" s="29" t="str">
        <f t="shared" si="2"/>
        <v>Regular</v>
      </c>
      <c r="J15" s="31">
        <v>6</v>
      </c>
      <c r="K15" s="29" t="str">
        <f t="shared" si="3"/>
        <v>CUST021</v>
      </c>
      <c r="L15" s="19">
        <f t="shared" si="4"/>
        <v>8740.18</v>
      </c>
      <c r="M15" s="19">
        <f t="shared" si="5"/>
        <v>2848.62</v>
      </c>
      <c r="N15" s="31">
        <f t="shared" si="6"/>
        <v>8</v>
      </c>
      <c r="O15" s="29" t="str">
        <f t="shared" si="7"/>
        <v>High-Value</v>
      </c>
    </row>
    <row r="16" spans="1:15" x14ac:dyDescent="0.35">
      <c r="A16" s="29" t="s">
        <v>36</v>
      </c>
      <c r="B16" s="27">
        <f>COUNTIF(Dataset!$A$2:$A$201,$A16)</f>
        <v>10</v>
      </c>
      <c r="C16" s="19">
        <f>SUMIF(Dataset!$A$2:$A$201,$A16,Dataset!$E$2:$E$201)</f>
        <v>9941.8799999999992</v>
      </c>
      <c r="D16" s="19">
        <f>SUMIF(Dataset!$A$2:$A$201,$A16,Dataset!$I$2:$I$201)</f>
        <v>3936.2599999999998</v>
      </c>
      <c r="E16" s="19">
        <f t="shared" si="0"/>
        <v>994.18799999999987</v>
      </c>
      <c r="F16" s="30">
        <f t="shared" si="1"/>
        <v>0.39592712847067157</v>
      </c>
      <c r="G16" s="31">
        <f>RANK(C16,$C$10:$C$39,0)+COUNTIF($C$10:C16,C16)-1</f>
        <v>3</v>
      </c>
      <c r="H16" s="29" t="str">
        <f t="shared" si="2"/>
        <v>High-Value</v>
      </c>
      <c r="J16" s="31">
        <v>7</v>
      </c>
      <c r="K16" s="29" t="str">
        <f t="shared" si="3"/>
        <v>CUST003</v>
      </c>
      <c r="L16" s="19">
        <f t="shared" si="4"/>
        <v>8490.18</v>
      </c>
      <c r="M16" s="19">
        <f t="shared" si="5"/>
        <v>2652.75</v>
      </c>
      <c r="N16" s="31">
        <f t="shared" si="6"/>
        <v>9</v>
      </c>
      <c r="O16" s="29" t="str">
        <f t="shared" si="7"/>
        <v>High-Value</v>
      </c>
    </row>
    <row r="17" spans="1:15" x14ac:dyDescent="0.35">
      <c r="A17" s="29" t="s">
        <v>55</v>
      </c>
      <c r="B17" s="27">
        <f>COUNTIF(Dataset!$A$2:$A$201,$A17)</f>
        <v>10</v>
      </c>
      <c r="C17" s="19">
        <f>SUMIF(Dataset!$A$2:$A$201,$A17,Dataset!$E$2:$E$201)</f>
        <v>9760.7999999999993</v>
      </c>
      <c r="D17" s="19">
        <f>SUMIF(Dataset!$A$2:$A$201,$A17,Dataset!$I$2:$I$201)</f>
        <v>3442.48</v>
      </c>
      <c r="E17" s="19">
        <f t="shared" si="0"/>
        <v>976.07999999999993</v>
      </c>
      <c r="F17" s="30">
        <f t="shared" si="1"/>
        <v>0.35268420621260554</v>
      </c>
      <c r="G17" s="31">
        <f>RANK(C17,$C$10:$C$39,0)+COUNTIF($C$10:C17,C17)-1</f>
        <v>4</v>
      </c>
      <c r="H17" s="29" t="str">
        <f t="shared" si="2"/>
        <v>High-Value</v>
      </c>
      <c r="J17" s="31">
        <v>8</v>
      </c>
      <c r="K17" s="29" t="str">
        <f t="shared" si="3"/>
        <v>CUST012</v>
      </c>
      <c r="L17" s="19">
        <f t="shared" si="4"/>
        <v>8339</v>
      </c>
      <c r="M17" s="19">
        <f t="shared" si="5"/>
        <v>2988.7100000000005</v>
      </c>
      <c r="N17" s="31">
        <f t="shared" si="6"/>
        <v>9</v>
      </c>
      <c r="O17" s="29" t="str">
        <f t="shared" si="7"/>
        <v>High-Value</v>
      </c>
    </row>
    <row r="18" spans="1:15" x14ac:dyDescent="0.35">
      <c r="A18" s="29" t="s">
        <v>43</v>
      </c>
      <c r="B18" s="27">
        <f>COUNTIF(Dataset!$A$2:$A$201,$A18)</f>
        <v>7</v>
      </c>
      <c r="C18" s="19">
        <f>SUMIF(Dataset!$A$2:$A$201,$A18,Dataset!$E$2:$E$201)</f>
        <v>6505.2</v>
      </c>
      <c r="D18" s="19">
        <f>SUMIF(Dataset!$A$2:$A$201,$A18,Dataset!$I$2:$I$201)</f>
        <v>2052.54</v>
      </c>
      <c r="E18" s="19">
        <f t="shared" si="0"/>
        <v>929.31428571428569</v>
      </c>
      <c r="F18" s="30">
        <f t="shared" si="1"/>
        <v>0.31552296624239068</v>
      </c>
      <c r="G18" s="31">
        <f>RANK(C18,$C$10:$C$39,0)+COUNTIF($C$10:C18,C18)-1</f>
        <v>16</v>
      </c>
      <c r="H18" s="29" t="str">
        <f t="shared" si="2"/>
        <v>Regular</v>
      </c>
      <c r="J18" s="31">
        <v>9</v>
      </c>
      <c r="K18" s="29" t="str">
        <f t="shared" si="3"/>
        <v>CUST030</v>
      </c>
      <c r="L18" s="19">
        <f t="shared" si="4"/>
        <v>7928.71</v>
      </c>
      <c r="M18" s="19">
        <f t="shared" si="5"/>
        <v>2965.4799999999996</v>
      </c>
      <c r="N18" s="31">
        <f t="shared" si="6"/>
        <v>9</v>
      </c>
      <c r="O18" s="29" t="str">
        <f t="shared" si="7"/>
        <v>Regular</v>
      </c>
    </row>
    <row r="19" spans="1:15" x14ac:dyDescent="0.35">
      <c r="A19" s="29" t="s">
        <v>46</v>
      </c>
      <c r="B19" s="27">
        <f>COUNTIF(Dataset!$A$2:$A$201,$A19)</f>
        <v>5</v>
      </c>
      <c r="C19" s="19">
        <f>SUMIF(Dataset!$A$2:$A$201,$A19,Dataset!$E$2:$E$201)</f>
        <v>4259.22</v>
      </c>
      <c r="D19" s="19">
        <f>SUMIF(Dataset!$A$2:$A$201,$A19,Dataset!$I$2:$I$201)</f>
        <v>1529.32</v>
      </c>
      <c r="E19" s="19">
        <f t="shared" si="0"/>
        <v>851.84400000000005</v>
      </c>
      <c r="F19" s="30">
        <f t="shared" si="1"/>
        <v>0.35906104873662309</v>
      </c>
      <c r="G19" s="31">
        <f>RANK(C19,$C$10:$C$39,0)+COUNTIF($C$10:C19,C19)-1</f>
        <v>24</v>
      </c>
      <c r="H19" s="29" t="str">
        <f t="shared" si="2"/>
        <v>Regular</v>
      </c>
      <c r="J19" s="31">
        <v>10</v>
      </c>
      <c r="K19" s="29" t="str">
        <f t="shared" si="3"/>
        <v>CUST004</v>
      </c>
      <c r="L19" s="19">
        <f t="shared" si="4"/>
        <v>7813.59</v>
      </c>
      <c r="M19" s="19">
        <f t="shared" si="5"/>
        <v>3211.82</v>
      </c>
      <c r="N19" s="31">
        <f t="shared" si="6"/>
        <v>7</v>
      </c>
      <c r="O19" s="29" t="str">
        <f t="shared" si="7"/>
        <v>Regular</v>
      </c>
    </row>
    <row r="20" spans="1:15" x14ac:dyDescent="0.35">
      <c r="A20" s="29" t="s">
        <v>74</v>
      </c>
      <c r="B20" s="27">
        <f>COUNTIF(Dataset!$A$2:$A$201,$A20)</f>
        <v>4</v>
      </c>
      <c r="C20" s="19">
        <f>SUMIF(Dataset!$A$2:$A$201,$A20,Dataset!$E$2:$E$201)</f>
        <v>3762.2900000000004</v>
      </c>
      <c r="D20" s="19">
        <f>SUMIF(Dataset!$A$2:$A$201,$A20,Dataset!$I$2:$I$201)</f>
        <v>1545.04</v>
      </c>
      <c r="E20" s="19">
        <f t="shared" si="0"/>
        <v>940.5725000000001</v>
      </c>
      <c r="F20" s="30">
        <f t="shared" si="1"/>
        <v>0.41066478129011846</v>
      </c>
      <c r="G20" s="31">
        <f>RANK(C20,$C$10:$C$39,0)+COUNTIF($C$10:C20,C20)-1</f>
        <v>27</v>
      </c>
      <c r="H20" s="29" t="str">
        <f t="shared" si="2"/>
        <v>Regular</v>
      </c>
    </row>
    <row r="21" spans="1:15" x14ac:dyDescent="0.35">
      <c r="A21" s="29" t="s">
        <v>24</v>
      </c>
      <c r="B21" s="27">
        <f>COUNTIF(Dataset!$A$2:$A$201,$A21)</f>
        <v>9</v>
      </c>
      <c r="C21" s="19">
        <f>SUMIF(Dataset!$A$2:$A$201,$A21,Dataset!$E$2:$E$201)</f>
        <v>8339</v>
      </c>
      <c r="D21" s="19">
        <f>SUMIF(Dataset!$A$2:$A$201,$A21,Dataset!$I$2:$I$201)</f>
        <v>2988.7100000000005</v>
      </c>
      <c r="E21" s="19">
        <f t="shared" si="0"/>
        <v>926.55555555555554</v>
      </c>
      <c r="F21" s="30">
        <f t="shared" si="1"/>
        <v>0.35840148698884766</v>
      </c>
      <c r="G21" s="31">
        <f>RANK(C21,$C$10:$C$39,0)+COUNTIF($C$10:C21,C21)-1</f>
        <v>8</v>
      </c>
      <c r="H21" s="29" t="str">
        <f t="shared" si="2"/>
        <v>High-Value</v>
      </c>
    </row>
    <row r="22" spans="1:15" ht="15" customHeight="1" x14ac:dyDescent="0.35">
      <c r="A22" s="29" t="s">
        <v>84</v>
      </c>
      <c r="B22" s="27">
        <f>COUNTIF(Dataset!$A$2:$A$201,$A22)</f>
        <v>4</v>
      </c>
      <c r="C22" s="19">
        <f>SUMIF(Dataset!$A$2:$A$201,$A22,Dataset!$E$2:$E$201)</f>
        <v>4162.4400000000005</v>
      </c>
      <c r="D22" s="19">
        <f>SUMIF(Dataset!$A$2:$A$201,$A22,Dataset!$I$2:$I$201)</f>
        <v>1605.11</v>
      </c>
      <c r="E22" s="19">
        <f t="shared" si="0"/>
        <v>1040.6100000000001</v>
      </c>
      <c r="F22" s="30">
        <f t="shared" si="1"/>
        <v>0.38561757046347805</v>
      </c>
      <c r="G22" s="31">
        <f>RANK(C22,$C$10:$C$39,0)+COUNTIF($C$10:C22,C22)-1</f>
        <v>25</v>
      </c>
      <c r="H22" s="29" t="str">
        <f t="shared" si="2"/>
        <v>Regular</v>
      </c>
      <c r="J22" s="1" t="s">
        <v>106</v>
      </c>
      <c r="K22" s="1"/>
      <c r="L22" s="1"/>
      <c r="M22" s="1"/>
      <c r="N22" s="1"/>
      <c r="O22" s="1"/>
    </row>
    <row r="23" spans="1:15" x14ac:dyDescent="0.35">
      <c r="A23" s="29" t="s">
        <v>48</v>
      </c>
      <c r="B23" s="27">
        <f>COUNTIF(Dataset!$A$2:$A$201,$A23)</f>
        <v>6</v>
      </c>
      <c r="C23" s="19">
        <f>SUMIF(Dataset!$A$2:$A$201,$A23,Dataset!$E$2:$E$201)</f>
        <v>6729.8899999999994</v>
      </c>
      <c r="D23" s="19">
        <f>SUMIF(Dataset!$A$2:$A$201,$A23,Dataset!$I$2:$I$201)</f>
        <v>2507.1799999999998</v>
      </c>
      <c r="E23" s="19">
        <f t="shared" si="0"/>
        <v>1121.6483333333333</v>
      </c>
      <c r="F23" s="30">
        <f t="shared" si="1"/>
        <v>0.37254397917350807</v>
      </c>
      <c r="G23" s="31">
        <f>RANK(C23,$C$10:$C$39,0)+COUNTIF($C$10:C23,C23)-1</f>
        <v>12</v>
      </c>
      <c r="H23" s="29" t="str">
        <f t="shared" si="2"/>
        <v>Regular</v>
      </c>
      <c r="J23" s="74" t="s">
        <v>9</v>
      </c>
      <c r="K23" s="74"/>
      <c r="L23" s="32" t="s">
        <v>24</v>
      </c>
    </row>
    <row r="24" spans="1:15" x14ac:dyDescent="0.35">
      <c r="A24" s="29" t="s">
        <v>69</v>
      </c>
      <c r="B24" s="27">
        <f>COUNTIF(Dataset!$A$2:$A$201,$A24)</f>
        <v>11</v>
      </c>
      <c r="C24" s="19">
        <f>SUMIF(Dataset!$A$2:$A$201,$A24,Dataset!$E$2:$E$201)</f>
        <v>11611.060000000001</v>
      </c>
      <c r="D24" s="19">
        <f>SUMIF(Dataset!$A$2:$A$201,$A24,Dataset!$I$2:$I$201)</f>
        <v>4201.59</v>
      </c>
      <c r="E24" s="19">
        <f t="shared" si="0"/>
        <v>1055.5509090909093</v>
      </c>
      <c r="F24" s="30">
        <f t="shared" si="1"/>
        <v>0.36186101871835991</v>
      </c>
      <c r="G24" s="31">
        <f>RANK(C24,$C$10:$C$39,0)+COUNTIF($C$10:C24,C24)-1</f>
        <v>1</v>
      </c>
      <c r="H24" s="29" t="str">
        <f t="shared" si="2"/>
        <v>High-Value</v>
      </c>
      <c r="J24" s="74" t="s">
        <v>98</v>
      </c>
      <c r="K24" s="74"/>
      <c r="L24" s="31">
        <f>IFERROR(INDEX($B$10:$B$39,MATCH($L$23,$A$10:$A$39,0)),"Not found")</f>
        <v>9</v>
      </c>
    </row>
    <row r="25" spans="1:15" x14ac:dyDescent="0.35">
      <c r="A25" s="29" t="s">
        <v>71</v>
      </c>
      <c r="B25" s="27">
        <f>COUNTIF(Dataset!$A$2:$A$201,$A25)</f>
        <v>4</v>
      </c>
      <c r="C25" s="19">
        <f>SUMIF(Dataset!$A$2:$A$201,$A25,Dataset!$E$2:$E$201)</f>
        <v>3369.17</v>
      </c>
      <c r="D25" s="19">
        <f>SUMIF(Dataset!$A$2:$A$201,$A25,Dataset!$I$2:$I$201)</f>
        <v>1497.25</v>
      </c>
      <c r="E25" s="19">
        <f t="shared" si="0"/>
        <v>842.29250000000002</v>
      </c>
      <c r="F25" s="30">
        <f t="shared" si="1"/>
        <v>0.44439728479120971</v>
      </c>
      <c r="G25" s="31">
        <f>RANK(C25,$C$10:$C$39,0)+COUNTIF($C$10:C25,C25)-1</f>
        <v>29</v>
      </c>
      <c r="H25" s="29" t="str">
        <f t="shared" si="2"/>
        <v>Regular</v>
      </c>
      <c r="J25" s="74" t="s">
        <v>99</v>
      </c>
      <c r="K25" s="74"/>
      <c r="L25" s="33">
        <f>IFERROR(INDEX($C$10:$C$39,MATCH($L$23,$A$10:$A$39,0)),"Not found")</f>
        <v>8339</v>
      </c>
    </row>
    <row r="26" spans="1:15" x14ac:dyDescent="0.35">
      <c r="A26" s="29" t="s">
        <v>27</v>
      </c>
      <c r="B26" s="27">
        <f>COUNTIF(Dataset!$A$2:$A$201,$A26)</f>
        <v>4</v>
      </c>
      <c r="C26" s="19">
        <f>SUMIF(Dataset!$A$2:$A$201,$A26,Dataset!$E$2:$E$201)</f>
        <v>3419.2</v>
      </c>
      <c r="D26" s="19">
        <f>SUMIF(Dataset!$A$2:$A$201,$A26,Dataset!$I$2:$I$201)</f>
        <v>1257.21</v>
      </c>
      <c r="E26" s="19">
        <f t="shared" si="0"/>
        <v>854.8</v>
      </c>
      <c r="F26" s="30">
        <f t="shared" si="1"/>
        <v>0.36769127281235381</v>
      </c>
      <c r="G26" s="31">
        <f>RANK(C26,$C$10:$C$39,0)+COUNTIF($C$10:C26,C26)-1</f>
        <v>28</v>
      </c>
      <c r="H26" s="29" t="str">
        <f t="shared" si="2"/>
        <v>Regular</v>
      </c>
      <c r="J26" s="74" t="s">
        <v>100</v>
      </c>
      <c r="K26" s="74"/>
      <c r="L26" s="33">
        <f>IFERROR(INDEX($D$10:$D$39,MATCH($L$23,$A$10:$A$39,0)),"Not found")</f>
        <v>2988.7100000000005</v>
      </c>
    </row>
    <row r="27" spans="1:15" x14ac:dyDescent="0.35">
      <c r="A27" s="29" t="s">
        <v>86</v>
      </c>
      <c r="B27" s="27">
        <f>COUNTIF(Dataset!$A$2:$A$201,$A27)</f>
        <v>5</v>
      </c>
      <c r="C27" s="19">
        <f>SUMIF(Dataset!$A$2:$A$201,$A27,Dataset!$E$2:$E$201)</f>
        <v>4951.8899999999994</v>
      </c>
      <c r="D27" s="19">
        <f>SUMIF(Dataset!$A$2:$A$201,$A27,Dataset!$I$2:$I$201)</f>
        <v>1821.6399999999999</v>
      </c>
      <c r="E27" s="19">
        <f t="shared" si="0"/>
        <v>990.37799999999993</v>
      </c>
      <c r="F27" s="30">
        <f t="shared" si="1"/>
        <v>0.36786762226139919</v>
      </c>
      <c r="G27" s="31">
        <f>RANK(C27,$C$10:$C$39,0)+COUNTIF($C$10:C27,C27)-1</f>
        <v>20</v>
      </c>
      <c r="H27" s="29" t="str">
        <f t="shared" si="2"/>
        <v>Regular</v>
      </c>
      <c r="J27" s="74" t="s">
        <v>103</v>
      </c>
      <c r="K27" s="74"/>
      <c r="L27" s="31">
        <f>IFERROR(INDEX($G$10:$G$39,MATCH($L$23,$A$10:$A$39,0)),"Not found")</f>
        <v>8</v>
      </c>
    </row>
    <row r="28" spans="1:15" x14ac:dyDescent="0.35">
      <c r="A28" s="29" t="s">
        <v>20</v>
      </c>
      <c r="B28" s="27">
        <f>COUNTIF(Dataset!$A$2:$A$201,$A28)</f>
        <v>5</v>
      </c>
      <c r="C28" s="19">
        <f>SUMIF(Dataset!$A$2:$A$201,$A28,Dataset!$E$2:$E$201)</f>
        <v>4640.1099999999997</v>
      </c>
      <c r="D28" s="19">
        <f>SUMIF(Dataset!$A$2:$A$201,$A28,Dataset!$I$2:$I$201)</f>
        <v>1721.12</v>
      </c>
      <c r="E28" s="19">
        <f t="shared" si="0"/>
        <v>928.02199999999993</v>
      </c>
      <c r="F28" s="30">
        <f t="shared" si="1"/>
        <v>0.37092224106756089</v>
      </c>
      <c r="G28" s="31">
        <f>RANK(C28,$C$10:$C$39,0)+COUNTIF($C$10:C28,C28)-1</f>
        <v>21</v>
      </c>
      <c r="H28" s="29" t="str">
        <f t="shared" si="2"/>
        <v>Regular</v>
      </c>
      <c r="J28" s="74" t="s">
        <v>104</v>
      </c>
      <c r="K28" s="74"/>
      <c r="L28" s="29" t="str">
        <f>IFERROR(INDEX($H$10:$H$39,MATCH($L$23,$A$10:$A$39,0)),"Not found")</f>
        <v>High-Value</v>
      </c>
    </row>
    <row r="29" spans="1:15" x14ac:dyDescent="0.35">
      <c r="A29" s="29" t="s">
        <v>79</v>
      </c>
      <c r="B29" s="27">
        <f>COUNTIF(Dataset!$A$2:$A$201,$A29)</f>
        <v>4</v>
      </c>
      <c r="C29" s="19">
        <f>SUMIF(Dataset!$A$2:$A$201,$A29,Dataset!$E$2:$E$201)</f>
        <v>4413.71</v>
      </c>
      <c r="D29" s="19">
        <f>SUMIF(Dataset!$A$2:$A$201,$A29,Dataset!$I$2:$I$201)</f>
        <v>1664.79</v>
      </c>
      <c r="E29" s="19">
        <f t="shared" si="0"/>
        <v>1103.4275</v>
      </c>
      <c r="F29" s="30">
        <f t="shared" si="1"/>
        <v>0.37718608608177701</v>
      </c>
      <c r="G29" s="31">
        <f>RANK(C29,$C$10:$C$39,0)+COUNTIF($C$10:C29,C29)-1</f>
        <v>23</v>
      </c>
      <c r="H29" s="29" t="str">
        <f t="shared" si="2"/>
        <v>Regular</v>
      </c>
    </row>
    <row r="30" spans="1:15" x14ac:dyDescent="0.35">
      <c r="A30" s="29" t="s">
        <v>68</v>
      </c>
      <c r="B30" s="27">
        <f>COUNTIF(Dataset!$A$2:$A$201,$A30)</f>
        <v>8</v>
      </c>
      <c r="C30" s="19">
        <f>SUMIF(Dataset!$A$2:$A$201,$A30,Dataset!$E$2:$E$201)</f>
        <v>8740.18</v>
      </c>
      <c r="D30" s="19">
        <f>SUMIF(Dataset!$A$2:$A$201,$A30,Dataset!$I$2:$I$201)</f>
        <v>2848.62</v>
      </c>
      <c r="E30" s="19">
        <f t="shared" si="0"/>
        <v>1092.5225</v>
      </c>
      <c r="F30" s="30">
        <f t="shared" si="1"/>
        <v>0.32592234942529785</v>
      </c>
      <c r="G30" s="31">
        <f>RANK(C30,$C$10:$C$39,0)+COUNTIF($C$10:C30,C30)-1</f>
        <v>6</v>
      </c>
      <c r="H30" s="29" t="str">
        <f t="shared" si="2"/>
        <v>High-Value</v>
      </c>
    </row>
    <row r="31" spans="1:15" x14ac:dyDescent="0.35">
      <c r="A31" s="29" t="s">
        <v>60</v>
      </c>
      <c r="B31" s="27">
        <f>COUNTIF(Dataset!$A$2:$A$201,$A31)</f>
        <v>5</v>
      </c>
      <c r="C31" s="19">
        <f>SUMIF(Dataset!$A$2:$A$201,$A31,Dataset!$E$2:$E$201)</f>
        <v>4418.2800000000007</v>
      </c>
      <c r="D31" s="19">
        <f>SUMIF(Dataset!$A$2:$A$201,$A31,Dataset!$I$2:$I$201)</f>
        <v>1605.23</v>
      </c>
      <c r="E31" s="19">
        <f t="shared" si="0"/>
        <v>883.65600000000018</v>
      </c>
      <c r="F31" s="30">
        <f t="shared" si="1"/>
        <v>0.36331558887168758</v>
      </c>
      <c r="G31" s="31">
        <f>RANK(C31,$C$10:$C$39,0)+COUNTIF($C$10:C31,C31)-1</f>
        <v>22</v>
      </c>
      <c r="H31" s="29" t="str">
        <f t="shared" si="2"/>
        <v>Regular</v>
      </c>
    </row>
    <row r="32" spans="1:15" x14ac:dyDescent="0.35">
      <c r="A32" s="29" t="s">
        <v>51</v>
      </c>
      <c r="B32" s="27">
        <f>COUNTIF(Dataset!$A$2:$A$201,$A32)</f>
        <v>7</v>
      </c>
      <c r="C32" s="19">
        <f>SUMIF(Dataset!$A$2:$A$201,$A32,Dataset!$E$2:$E$201)</f>
        <v>5913.68</v>
      </c>
      <c r="D32" s="19">
        <f>SUMIF(Dataset!$A$2:$A$201,$A32,Dataset!$I$2:$I$201)</f>
        <v>2198.62</v>
      </c>
      <c r="E32" s="19">
        <f t="shared" si="0"/>
        <v>844.81142857142856</v>
      </c>
      <c r="F32" s="30">
        <f t="shared" si="1"/>
        <v>0.37178541956954042</v>
      </c>
      <c r="G32" s="31">
        <f>RANK(C32,$C$10:$C$39,0)+COUNTIF($C$10:C32,C32)-1</f>
        <v>18</v>
      </c>
      <c r="H32" s="29" t="str">
        <f t="shared" si="2"/>
        <v>Regular</v>
      </c>
    </row>
    <row r="33" spans="1:8" x14ac:dyDescent="0.35">
      <c r="A33" s="29" t="s">
        <v>81</v>
      </c>
      <c r="B33" s="27">
        <f>COUNTIF(Dataset!$A$2:$A$201,$A33)</f>
        <v>7</v>
      </c>
      <c r="C33" s="19">
        <f>SUMIF(Dataset!$A$2:$A$201,$A33,Dataset!$E$2:$E$201)</f>
        <v>7583.1299999999992</v>
      </c>
      <c r="D33" s="19">
        <f>SUMIF(Dataset!$A$2:$A$201,$A33,Dataset!$I$2:$I$201)</f>
        <v>2492.1</v>
      </c>
      <c r="E33" s="19">
        <f t="shared" si="0"/>
        <v>1083.3042857142857</v>
      </c>
      <c r="F33" s="30">
        <f t="shared" si="1"/>
        <v>0.32863738324412217</v>
      </c>
      <c r="G33" s="31">
        <f>RANK(C33,$C$10:$C$39,0)+COUNTIF($C$10:C33,C33)-1</f>
        <v>11</v>
      </c>
      <c r="H33" s="29" t="str">
        <f t="shared" si="2"/>
        <v>Regular</v>
      </c>
    </row>
    <row r="34" spans="1:8" x14ac:dyDescent="0.35">
      <c r="A34" s="29" t="s">
        <v>65</v>
      </c>
      <c r="B34" s="27">
        <f>COUNTIF(Dataset!$A$2:$A$201,$A34)</f>
        <v>6</v>
      </c>
      <c r="C34" s="19">
        <f>SUMIF(Dataset!$A$2:$A$201,$A34,Dataset!$E$2:$E$201)</f>
        <v>6716.52</v>
      </c>
      <c r="D34" s="19">
        <f>SUMIF(Dataset!$A$2:$A$201,$A34,Dataset!$I$2:$I$201)</f>
        <v>2327.84</v>
      </c>
      <c r="E34" s="19">
        <f t="shared" si="0"/>
        <v>1119.42</v>
      </c>
      <c r="F34" s="30">
        <f t="shared" si="1"/>
        <v>0.34658424303061702</v>
      </c>
      <c r="G34" s="31">
        <f>RANK(C34,$C$10:$C$39,0)+COUNTIF($C$10:C34,C34)-1</f>
        <v>13</v>
      </c>
      <c r="H34" s="29" t="str">
        <f t="shared" si="2"/>
        <v>Regular</v>
      </c>
    </row>
    <row r="35" spans="1:8" x14ac:dyDescent="0.35">
      <c r="A35" s="29" t="s">
        <v>41</v>
      </c>
      <c r="B35" s="27">
        <f>COUNTIF(Dataset!$A$2:$A$201,$A35)</f>
        <v>9</v>
      </c>
      <c r="C35" s="19">
        <f>SUMIF(Dataset!$A$2:$A$201,$A35,Dataset!$E$2:$E$201)</f>
        <v>9371.81</v>
      </c>
      <c r="D35" s="19">
        <f>SUMIF(Dataset!$A$2:$A$201,$A35,Dataset!$I$2:$I$201)</f>
        <v>2922.0199999999995</v>
      </c>
      <c r="E35" s="19">
        <f t="shared" si="0"/>
        <v>1041.3122222222221</v>
      </c>
      <c r="F35" s="30">
        <f t="shared" si="1"/>
        <v>0.31178822447318072</v>
      </c>
      <c r="G35" s="31">
        <f>RANK(C35,$C$10:$C$39,0)+COUNTIF($C$10:C35,C35)-1</f>
        <v>5</v>
      </c>
      <c r="H35" s="29" t="str">
        <f t="shared" si="2"/>
        <v>High-Value</v>
      </c>
    </row>
    <row r="36" spans="1:8" x14ac:dyDescent="0.35">
      <c r="A36" s="29" t="s">
        <v>85</v>
      </c>
      <c r="B36" s="27">
        <f>COUNTIF(Dataset!$A$2:$A$201,$A36)</f>
        <v>5</v>
      </c>
      <c r="C36" s="19">
        <f>SUMIF(Dataset!$A$2:$A$201,$A36,Dataset!$E$2:$E$201)</f>
        <v>3906.04</v>
      </c>
      <c r="D36" s="19">
        <f>SUMIF(Dataset!$A$2:$A$201,$A36,Dataset!$I$2:$I$201)</f>
        <v>1240.6500000000001</v>
      </c>
      <c r="E36" s="19">
        <f t="shared" si="0"/>
        <v>781.20799999999997</v>
      </c>
      <c r="F36" s="30">
        <f t="shared" si="1"/>
        <v>0.31762347543803959</v>
      </c>
      <c r="G36" s="31">
        <f>RANK(C36,$C$10:$C$39,0)+COUNTIF($C$10:C36,C36)-1</f>
        <v>26</v>
      </c>
      <c r="H36" s="29" t="str">
        <f t="shared" si="2"/>
        <v>Regular</v>
      </c>
    </row>
    <row r="37" spans="1:8" x14ac:dyDescent="0.35">
      <c r="A37" s="29" t="s">
        <v>63</v>
      </c>
      <c r="B37" s="27">
        <f>COUNTIF(Dataset!$A$2:$A$201,$A37)</f>
        <v>12</v>
      </c>
      <c r="C37" s="19">
        <f>SUMIF(Dataset!$A$2:$A$201,$A37,Dataset!$E$2:$E$201)</f>
        <v>10293.870000000001</v>
      </c>
      <c r="D37" s="19">
        <f>SUMIF(Dataset!$A$2:$A$201,$A37,Dataset!$I$2:$I$201)</f>
        <v>3541.02</v>
      </c>
      <c r="E37" s="19">
        <f t="shared" si="0"/>
        <v>857.8225000000001</v>
      </c>
      <c r="F37" s="30">
        <f t="shared" si="1"/>
        <v>0.34399307549055891</v>
      </c>
      <c r="G37" s="31">
        <f>RANK(C37,$C$10:$C$39,0)+COUNTIF($C$10:C37,C37)-1</f>
        <v>2</v>
      </c>
      <c r="H37" s="29" t="str">
        <f t="shared" si="2"/>
        <v>High-Value</v>
      </c>
    </row>
    <row r="38" spans="1:8" x14ac:dyDescent="0.35">
      <c r="A38" s="29" t="s">
        <v>52</v>
      </c>
      <c r="B38" s="27">
        <f>COUNTIF(Dataset!$A$2:$A$201,$A38)</f>
        <v>7</v>
      </c>
      <c r="C38" s="19">
        <f>SUMIF(Dataset!$A$2:$A$201,$A38,Dataset!$E$2:$E$201)</f>
        <v>5779.05</v>
      </c>
      <c r="D38" s="19">
        <f>SUMIF(Dataset!$A$2:$A$201,$A38,Dataset!$I$2:$I$201)</f>
        <v>1611.6599999999999</v>
      </c>
      <c r="E38" s="19">
        <f t="shared" si="0"/>
        <v>825.57857142857142</v>
      </c>
      <c r="F38" s="30">
        <f t="shared" si="1"/>
        <v>0.27887974667116566</v>
      </c>
      <c r="G38" s="31">
        <f>RANK(C38,$C$10:$C$39,0)+COUNTIF($C$10:C38,C38)-1</f>
        <v>19</v>
      </c>
      <c r="H38" s="29" t="str">
        <f t="shared" si="2"/>
        <v>Regular</v>
      </c>
    </row>
    <row r="39" spans="1:8" x14ac:dyDescent="0.35">
      <c r="A39" s="29" t="s">
        <v>33</v>
      </c>
      <c r="B39" s="27">
        <f>COUNTIF(Dataset!$A$2:$A$201,$A39)</f>
        <v>9</v>
      </c>
      <c r="C39" s="19">
        <f>SUMIF(Dataset!$A$2:$A$201,$A39,Dataset!$E$2:$E$201)</f>
        <v>7928.71</v>
      </c>
      <c r="D39" s="19">
        <f>SUMIF(Dataset!$A$2:$A$201,$A39,Dataset!$I$2:$I$201)</f>
        <v>2965.4799999999996</v>
      </c>
      <c r="E39" s="19">
        <f t="shared" si="0"/>
        <v>880.96777777777777</v>
      </c>
      <c r="F39" s="30">
        <f t="shared" si="1"/>
        <v>0.37401796761389933</v>
      </c>
      <c r="G39" s="31">
        <f>RANK(C39,$C$10:$C$39,0)+COUNTIF($C$10:C39,C39)-1</f>
        <v>9</v>
      </c>
      <c r="H39" s="29" t="str">
        <f t="shared" si="2"/>
        <v>Regular</v>
      </c>
    </row>
    <row r="40" spans="1:8" x14ac:dyDescent="0.35">
      <c r="A40" s="34" t="s">
        <v>107</v>
      </c>
      <c r="B40" s="35">
        <f>SUM(B10:B39)</f>
        <v>200</v>
      </c>
      <c r="C40" s="36">
        <f>SUM(C10:C39)</f>
        <v>195217.75999999995</v>
      </c>
      <c r="D40" s="36">
        <f>SUM(D10:D39)</f>
        <v>68287.009999999995</v>
      </c>
      <c r="E40" s="36">
        <f t="shared" si="0"/>
        <v>976.08879999999976</v>
      </c>
      <c r="F40" s="37">
        <f t="shared" si="1"/>
        <v>0.34979916786259618</v>
      </c>
      <c r="G40" s="38"/>
      <c r="H40" s="38"/>
    </row>
  </sheetData>
  <autoFilter ref="A9:H39" xr:uid="{00000000-0009-0000-0000-000003000000}"/>
  <mergeCells count="15">
    <mergeCell ref="J24:K24"/>
    <mergeCell ref="J25:K25"/>
    <mergeCell ref="J26:K26"/>
    <mergeCell ref="J27:K27"/>
    <mergeCell ref="J28:K28"/>
    <mergeCell ref="J6:O6"/>
    <mergeCell ref="J7:O7"/>
    <mergeCell ref="J8:O8"/>
    <mergeCell ref="J22:O22"/>
    <mergeCell ref="J23:K23"/>
    <mergeCell ref="A1:O1"/>
    <mergeCell ref="A2:O2"/>
    <mergeCell ref="A4:H4"/>
    <mergeCell ref="J4:O4"/>
    <mergeCell ref="J5:O5"/>
  </mergeCells>
  <conditionalFormatting sqref="A10:H39">
    <cfRule type="expression" dxfId="7" priority="2">
      <formula>$G10&lt;=10</formula>
    </cfRule>
  </conditionalFormatting>
  <conditionalFormatting sqref="C10:C39">
    <cfRule type="top10" dxfId="6" priority="3" rank="10"/>
  </conditionalFormatting>
  <conditionalFormatting sqref="H10:H39">
    <cfRule type="expression" dxfId="5" priority="4">
      <formula>$H10="High-Value"</formula>
    </cfRule>
  </conditionalFormatting>
  <dataValidations count="1">
    <dataValidation type="list" sqref="L23" xr:uid="{00000000-0002-0000-0300-000000000000}">
      <formula1>$A$10:$A$39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G32"/>
  <sheetViews>
    <sheetView showGridLines="0" topLeftCell="A19" zoomScaleNormal="100" workbookViewId="0">
      <selection activeCell="A33" sqref="A33"/>
    </sheetView>
  </sheetViews>
  <sheetFormatPr defaultColWidth="8.6328125" defaultRowHeight="14.5" x14ac:dyDescent="0.35"/>
  <cols>
    <col min="1" max="1" width="46" customWidth="1"/>
    <col min="2" max="4" width="16" customWidth="1"/>
    <col min="5" max="5" width="22" customWidth="1"/>
    <col min="6" max="6" width="12" customWidth="1"/>
    <col min="7" max="7" width="14" customWidth="1"/>
  </cols>
  <sheetData>
    <row r="1" spans="1:7" ht="31.5" customHeight="1" x14ac:dyDescent="0.35">
      <c r="A1" s="2" t="s">
        <v>108</v>
      </c>
      <c r="B1" s="2"/>
      <c r="C1" s="2"/>
      <c r="D1" s="2"/>
      <c r="E1" s="2"/>
      <c r="F1" s="2"/>
      <c r="G1" s="2"/>
    </row>
    <row r="2" spans="1:7" ht="19.5" customHeight="1" x14ac:dyDescent="0.35">
      <c r="A2" s="13" t="s">
        <v>109</v>
      </c>
      <c r="B2" s="13"/>
      <c r="C2" s="13"/>
      <c r="D2" s="13"/>
      <c r="E2" s="13"/>
      <c r="F2" s="13"/>
      <c r="G2" s="13"/>
    </row>
    <row r="4" spans="1:7" ht="15" customHeight="1" x14ac:dyDescent="0.35">
      <c r="A4" s="1" t="s">
        <v>110</v>
      </c>
      <c r="B4" s="1"/>
      <c r="C4" s="1"/>
      <c r="D4" s="1"/>
      <c r="E4" s="1"/>
      <c r="F4" s="1"/>
      <c r="G4" s="1"/>
    </row>
    <row r="5" spans="1:7" ht="30" customHeight="1" x14ac:dyDescent="0.35">
      <c r="A5" s="39" t="s">
        <v>111</v>
      </c>
      <c r="B5" s="40">
        <v>0.05</v>
      </c>
    </row>
    <row r="6" spans="1:7" ht="30" customHeight="1" x14ac:dyDescent="0.35">
      <c r="A6" s="39" t="s">
        <v>112</v>
      </c>
      <c r="B6" s="41">
        <v>0.03</v>
      </c>
    </row>
    <row r="7" spans="1:7" x14ac:dyDescent="0.35">
      <c r="A7" s="39" t="s">
        <v>113</v>
      </c>
      <c r="B7" s="42">
        <f>MAX(0,1+B6*B5*100)</f>
        <v>1.1499999999999999</v>
      </c>
    </row>
    <row r="9" spans="1:7" ht="15" customHeight="1" x14ac:dyDescent="0.35">
      <c r="A9" s="1" t="s">
        <v>114</v>
      </c>
      <c r="B9" s="1"/>
      <c r="C9" s="1"/>
      <c r="D9" s="1"/>
      <c r="E9" s="1"/>
      <c r="F9" s="1"/>
      <c r="G9" s="1"/>
    </row>
    <row r="10" spans="1:7" ht="30" customHeight="1" x14ac:dyDescent="0.35">
      <c r="A10" s="28" t="s">
        <v>115</v>
      </c>
      <c r="B10" s="28" t="s">
        <v>116</v>
      </c>
      <c r="C10" s="28" t="s">
        <v>117</v>
      </c>
      <c r="D10" s="28" t="s">
        <v>118</v>
      </c>
      <c r="E10" s="28" t="s">
        <v>119</v>
      </c>
    </row>
    <row r="11" spans="1:7" x14ac:dyDescent="0.35">
      <c r="A11" s="24" t="s">
        <v>120</v>
      </c>
      <c r="B11" s="30">
        <f>AVERAGE(Dataset!$G$2:$G$201)</f>
        <v>9.7250000000000003E-2</v>
      </c>
      <c r="C11" s="30">
        <f>SUMPRODUCT((Dataset!$G$2:$G$201+$B$5)*((Dataset!$G$2:$G$201+$B$5)&gt;0))/COUNT(Dataset!$G$2:$G$201)</f>
        <v>0.14725000000000008</v>
      </c>
      <c r="D11" s="43">
        <f>C11-B11</f>
        <v>5.0000000000000072E-2</v>
      </c>
      <c r="E11" s="43"/>
    </row>
    <row r="12" spans="1:7" x14ac:dyDescent="0.35">
      <c r="A12" s="24" t="s">
        <v>121</v>
      </c>
      <c r="B12" s="44">
        <f>SUM(Dataset!$E$2:$E$201)</f>
        <v>195217.75999999992</v>
      </c>
      <c r="C12" s="44">
        <f>SUMPRODUCT(Dataset!$E$2:$E$201/(1-Dataset!$G$2:$G$201)*(1-(Dataset!$G$2:$G$201+$B$5)*((Dataset!$G$2:$G$201+$B$5)&gt;0)))*$B$7</f>
        <v>211963.86034619657</v>
      </c>
      <c r="D12" s="45">
        <f>C12-B12</f>
        <v>16746.100346196647</v>
      </c>
      <c r="E12" s="43">
        <f>IF(B12=0,0,D12/B12)</f>
        <v>8.5781643771533148E-2</v>
      </c>
    </row>
    <row r="13" spans="1:7" x14ac:dyDescent="0.35">
      <c r="A13" s="24" t="s">
        <v>122</v>
      </c>
      <c r="B13" s="44">
        <f>SUM(Dataset!$E$2:$E$201)-SUM(Dataset!$I$2:$I$201)</f>
        <v>126930.74999999991</v>
      </c>
      <c r="C13" s="44">
        <f>B13*$B$7</f>
        <v>145970.3624999999</v>
      </c>
      <c r="D13" s="45">
        <f>C13-B13</f>
        <v>19039.612499999988</v>
      </c>
      <c r="E13" s="43">
        <f>IF(B13=0,0,D13/B13)</f>
        <v>0.15000000000000002</v>
      </c>
    </row>
    <row r="14" spans="1:7" x14ac:dyDescent="0.35">
      <c r="A14" s="46" t="s">
        <v>123</v>
      </c>
      <c r="B14" s="47">
        <f>SUM(Dataset!$I$2:$I$201)</f>
        <v>68287.010000000009</v>
      </c>
      <c r="C14" s="47">
        <f>C12-C13</f>
        <v>65993.497846196668</v>
      </c>
      <c r="D14" s="48">
        <f>C14-B14</f>
        <v>-2293.5121538033418</v>
      </c>
      <c r="E14" s="49">
        <f>IF(B14=0,0,D14/B14)</f>
        <v>-3.3586360770567369E-2</v>
      </c>
    </row>
    <row r="15" spans="1:7" x14ac:dyDescent="0.35">
      <c r="A15" s="24" t="s">
        <v>124</v>
      </c>
      <c r="B15" s="30">
        <f>B14/B12</f>
        <v>0.34979916786259629</v>
      </c>
      <c r="C15" s="30">
        <f>IF(C12=0,0,C14/C12)</f>
        <v>0.31134315886873704</v>
      </c>
      <c r="D15" s="43">
        <f>C15-B15</f>
        <v>-3.8456008993859259E-2</v>
      </c>
      <c r="E15" s="43"/>
    </row>
    <row r="18" spans="1:7" ht="15" customHeight="1" x14ac:dyDescent="0.35">
      <c r="A18" s="1" t="s">
        <v>125</v>
      </c>
      <c r="B18" s="1"/>
      <c r="C18" s="1"/>
      <c r="D18" s="1"/>
      <c r="E18" s="1"/>
      <c r="F18" s="1"/>
      <c r="G18" s="1"/>
    </row>
    <row r="19" spans="1:7" ht="30" customHeight="1" x14ac:dyDescent="0.35">
      <c r="A19" s="28" t="s">
        <v>126</v>
      </c>
      <c r="B19" s="28" t="s">
        <v>120</v>
      </c>
      <c r="C19" s="28" t="s">
        <v>121</v>
      </c>
      <c r="D19" s="28" t="s">
        <v>123</v>
      </c>
      <c r="E19" s="28" t="s">
        <v>127</v>
      </c>
      <c r="F19" s="28" t="s">
        <v>128</v>
      </c>
      <c r="G19" s="28" t="s">
        <v>124</v>
      </c>
    </row>
    <row r="20" spans="1:7" x14ac:dyDescent="0.35">
      <c r="A20" s="40">
        <v>-0.1</v>
      </c>
      <c r="B20" s="30">
        <f>SUMPRODUCT((Dataset!$G$2:$G$201+$A20)*((Dataset!$G$2:$G$201+$A20)&gt;0))/COUNT(Dataset!$G$2:$G$201)</f>
        <v>2.9249999999999964E-2</v>
      </c>
      <c r="C20" s="44">
        <f>SUMPRODUCT(Dataset!$E$2:$E$201/(1-Dataset!$G$2:$G$201)*(1-(Dataset!$G$2:$G$201+$A20)*((Dataset!$G$2:$G$201+$A20)&gt;0)))*MAX(0,1+$B$6*$A20*100)</f>
        <v>147542.51055749052</v>
      </c>
      <c r="D20" s="44">
        <f t="shared" ref="D20:D28" si="0">C20-($B$12-$B$14)*MAX(0,1+$B$6*$A20*100)</f>
        <v>58690.985557490581</v>
      </c>
      <c r="E20" s="45">
        <f t="shared" ref="E20:E28" si="1">D20-$B$14</f>
        <v>-9596.0244425094279</v>
      </c>
      <c r="F20" s="43">
        <f t="shared" ref="F20:F28" si="2">IF($B$14=0,0,E20/$B$14)</f>
        <v>-0.14052488815236494</v>
      </c>
      <c r="G20" s="30">
        <f t="shared" ref="G20:G28" si="3">IF(C20=0,0,D20/C20)</f>
        <v>0.39779034080229647</v>
      </c>
    </row>
    <row r="21" spans="1:7" x14ac:dyDescent="0.35">
      <c r="A21" s="40">
        <v>-7.4999999999999997E-2</v>
      </c>
      <c r="B21" s="30">
        <f>SUMPRODUCT((Dataset!$G$2:$G$201+$A21)*((Dataset!$G$2:$G$201+$A21)&gt;0))/COUNT(Dataset!$G$2:$G$201)</f>
        <v>4.3625000000000046E-2</v>
      </c>
      <c r="C21" s="44">
        <f>SUMPRODUCT(Dataset!$E$2:$E$201/(1-Dataset!$G$2:$G$201)*(1-(Dataset!$G$2:$G$201+$A21)*((Dataset!$G$2:$G$201+$A21)&gt;0)))*MAX(0,1+$B$6*$A21*100)</f>
        <v>160745.46086517192</v>
      </c>
      <c r="D21" s="44">
        <f t="shared" si="0"/>
        <v>62374.129615171987</v>
      </c>
      <c r="E21" s="45">
        <f t="shared" si="1"/>
        <v>-5912.8803848280222</v>
      </c>
      <c r="F21" s="43">
        <f t="shared" si="2"/>
        <v>-8.6588655511905144E-2</v>
      </c>
      <c r="G21" s="30">
        <f t="shared" si="3"/>
        <v>0.38803042573929591</v>
      </c>
    </row>
    <row r="22" spans="1:7" x14ac:dyDescent="0.35">
      <c r="A22" s="40">
        <v>-0.05</v>
      </c>
      <c r="B22" s="30">
        <f>SUMPRODUCT((Dataset!$G$2:$G$201+$A22)*((Dataset!$G$2:$G$201+$A22)&gt;0))/COUNT(Dataset!$G$2:$G$201)</f>
        <v>5.8000000000000052E-2</v>
      </c>
      <c r="C22" s="44">
        <f>SUMPRODUCT(Dataset!$E$2:$E$201/(1-Dataset!$G$2:$G$201)*(1-(Dataset!$G$2:$G$201+$A22)*((Dataset!$G$2:$G$201+$A22)&gt;0)))*MAX(0,1+$B$6*$A22*100)</f>
        <v>173444.18359411549</v>
      </c>
      <c r="D22" s="44">
        <f t="shared" si="0"/>
        <v>65553.046094115562</v>
      </c>
      <c r="E22" s="45">
        <f t="shared" si="1"/>
        <v>-2733.9639058844477</v>
      </c>
      <c r="F22" s="43">
        <f t="shared" si="2"/>
        <v>-4.0036368642944645E-2</v>
      </c>
      <c r="G22" s="30">
        <f t="shared" si="3"/>
        <v>0.37794894435618082</v>
      </c>
    </row>
    <row r="23" spans="1:7" x14ac:dyDescent="0.35">
      <c r="A23" s="40">
        <v>-2.5000000000000001E-2</v>
      </c>
      <c r="B23" s="30">
        <f>SUMPRODUCT((Dataset!$G$2:$G$201+$A23)*((Dataset!$G$2:$G$201+$A23)&gt;0))/COUNT(Dataset!$G$2:$G$201)</f>
        <v>7.7625000000000069E-2</v>
      </c>
      <c r="C23" s="44">
        <f>SUMPRODUCT(Dataset!$E$2:$E$201/(1-Dataset!$G$2:$G$201)*(1-(Dataset!$G$2:$G$201+$A23)*((Dataset!$G$2:$G$201+$A23)&gt;0)))*MAX(0,1+$B$6*$A23*100)</f>
        <v>184662.25507326864</v>
      </c>
      <c r="D23" s="44">
        <f t="shared" si="0"/>
        <v>67251.311323268717</v>
      </c>
      <c r="E23" s="45">
        <f t="shared" si="1"/>
        <v>-1035.6986767312919</v>
      </c>
      <c r="F23" s="43">
        <f t="shared" si="2"/>
        <v>-1.5166847643955882E-2</v>
      </c>
      <c r="G23" s="30">
        <f t="shared" si="3"/>
        <v>0.36418547632587583</v>
      </c>
    </row>
    <row r="24" spans="1:7" x14ac:dyDescent="0.35">
      <c r="A24" s="40">
        <v>0</v>
      </c>
      <c r="B24" s="30">
        <f>SUMPRODUCT((Dataset!$G$2:$G$201+$A24)*((Dataset!$G$2:$G$201+$A24)&gt;0))/COUNT(Dataset!$G$2:$G$201)</f>
        <v>9.7250000000000003E-2</v>
      </c>
      <c r="C24" s="44">
        <f>SUMPRODUCT(Dataset!$E$2:$E$201/(1-Dataset!$G$2:$G$201)*(1-(Dataset!$G$2:$G$201+$A24)*((Dataset!$G$2:$G$201+$A24)&gt;0)))*MAX(0,1+$B$6*$A24*100)</f>
        <v>195217.75999999992</v>
      </c>
      <c r="D24" s="44">
        <f t="shared" si="0"/>
        <v>68287.010000000009</v>
      </c>
      <c r="E24" s="45">
        <f t="shared" si="1"/>
        <v>0</v>
      </c>
      <c r="F24" s="43">
        <f t="shared" si="2"/>
        <v>0</v>
      </c>
      <c r="G24" s="30">
        <f t="shared" si="3"/>
        <v>0.34979916786259629</v>
      </c>
    </row>
    <row r="25" spans="1:7" x14ac:dyDescent="0.35">
      <c r="A25" s="40">
        <v>2.5000000000000001E-2</v>
      </c>
      <c r="B25" s="30">
        <f>SUMPRODUCT((Dataset!$G$2:$G$201+$A25)*((Dataset!$G$2:$G$201+$A25)&gt;0))/COUNT(Dataset!$G$2:$G$201)</f>
        <v>0.12225000000000003</v>
      </c>
      <c r="C25" s="44">
        <f>SUMPRODUCT(Dataset!$E$2:$E$201/(1-Dataset!$G$2:$G$201)*(1-(Dataset!$G$2:$G$201+$A25)*((Dataset!$G$2:$G$201+$A25)&gt;0)))*MAX(0,1+$B$6*$A25*100)</f>
        <v>203999.6111618093</v>
      </c>
      <c r="D25" s="44">
        <f t="shared" si="0"/>
        <v>67549.054911809391</v>
      </c>
      <c r="E25" s="45">
        <f t="shared" si="1"/>
        <v>-737.95508819061797</v>
      </c>
      <c r="F25" s="43">
        <f t="shared" si="2"/>
        <v>-1.0806668621024963E-2</v>
      </c>
      <c r="G25" s="30">
        <f t="shared" si="3"/>
        <v>0.33112344933947219</v>
      </c>
    </row>
    <row r="26" spans="1:7" x14ac:dyDescent="0.35">
      <c r="A26" s="40">
        <v>0.05</v>
      </c>
      <c r="B26" s="30">
        <f>SUMPRODUCT((Dataset!$G$2:$G$201+$A26)*((Dataset!$G$2:$G$201+$A26)&gt;0))/COUNT(Dataset!$G$2:$G$201)</f>
        <v>0.14725000000000008</v>
      </c>
      <c r="C26" s="44">
        <f>SUMPRODUCT(Dataset!$E$2:$E$201/(1-Dataset!$G$2:$G$201)*(1-(Dataset!$G$2:$G$201+$A26)*((Dataset!$G$2:$G$201+$A26)&gt;0)))*MAX(0,1+$B$6*$A26*100)</f>
        <v>211963.86034619657</v>
      </c>
      <c r="D26" s="44">
        <f t="shared" si="0"/>
        <v>65993.497846196668</v>
      </c>
      <c r="E26" s="45">
        <f t="shared" si="1"/>
        <v>-2293.5121538033418</v>
      </c>
      <c r="F26" s="43">
        <f t="shared" si="2"/>
        <v>-3.3586360770567369E-2</v>
      </c>
      <c r="G26" s="30">
        <f t="shared" si="3"/>
        <v>0.31134315886873704</v>
      </c>
    </row>
    <row r="27" spans="1:7" x14ac:dyDescent="0.35">
      <c r="A27" s="40">
        <v>7.4999999999999997E-2</v>
      </c>
      <c r="B27" s="30">
        <f>SUMPRODUCT((Dataset!$G$2:$G$201+$A27)*((Dataset!$G$2:$G$201+$A27)&gt;0))/COUNT(Dataset!$G$2:$G$201)</f>
        <v>0.17224999999999999</v>
      </c>
      <c r="C27" s="44">
        <f>SUMPRODUCT(Dataset!$E$2:$E$201/(1-Dataset!$G$2:$G$201)*(1-(Dataset!$G$2:$G$201+$A27)*((Dataset!$G$2:$G$201+$A27)&gt;0)))*MAX(0,1+$B$6*$A27*100)</f>
        <v>219110.507553162</v>
      </c>
      <c r="D27" s="44">
        <f t="shared" si="0"/>
        <v>63620.3388031621</v>
      </c>
      <c r="E27" s="45">
        <f t="shared" si="1"/>
        <v>-4666.6711968379095</v>
      </c>
      <c r="F27" s="43">
        <f t="shared" si="2"/>
        <v>-6.8339076448623373E-2</v>
      </c>
      <c r="G27" s="30">
        <f t="shared" si="3"/>
        <v>0.29035731564688255</v>
      </c>
    </row>
    <row r="28" spans="1:7" x14ac:dyDescent="0.35">
      <c r="A28" s="40">
        <v>0.1</v>
      </c>
      <c r="B28" s="30">
        <f>SUMPRODUCT((Dataset!$G$2:$G$201+$A28)*((Dataset!$G$2:$G$201+$A28)&gt;0))/COUNT(Dataset!$G$2:$G$201)</f>
        <v>0.19724999999999998</v>
      </c>
      <c r="C28" s="44">
        <f>SUMPRODUCT(Dataset!$E$2:$E$201/(1-Dataset!$G$2:$G$201)*(1-(Dataset!$G$2:$G$201+$A28)*((Dataset!$G$2:$G$201+$A28)&gt;0)))*MAX(0,1+$B$6*$A28*100)</f>
        <v>225439.55278270561</v>
      </c>
      <c r="D28" s="44">
        <f t="shared" si="0"/>
        <v>60429.577782705717</v>
      </c>
      <c r="E28" s="45">
        <f t="shared" si="1"/>
        <v>-7857.4322172942921</v>
      </c>
      <c r="F28" s="43">
        <f t="shared" si="2"/>
        <v>-0.11506481565519257</v>
      </c>
      <c r="G28" s="30">
        <f t="shared" si="3"/>
        <v>0.26805224299283437</v>
      </c>
    </row>
    <row r="30" spans="1:7" ht="15" customHeight="1" x14ac:dyDescent="0.35">
      <c r="A30" s="75"/>
      <c r="B30" s="75"/>
      <c r="C30" s="75"/>
      <c r="D30" s="75"/>
      <c r="E30" s="75"/>
      <c r="F30" s="75"/>
      <c r="G30" s="75"/>
    </row>
    <row r="31" spans="1:7" x14ac:dyDescent="0.35">
      <c r="A31" s="75"/>
      <c r="B31" s="75"/>
      <c r="C31" s="75"/>
      <c r="D31" s="75"/>
      <c r="E31" s="75"/>
      <c r="F31" s="75"/>
      <c r="G31" s="75"/>
    </row>
    <row r="32" spans="1:7" x14ac:dyDescent="0.35">
      <c r="A32" s="75"/>
      <c r="B32" s="75"/>
      <c r="C32" s="75"/>
      <c r="D32" s="75"/>
      <c r="E32" s="75"/>
      <c r="F32" s="75"/>
      <c r="G32" s="75"/>
    </row>
  </sheetData>
  <mergeCells count="6">
    <mergeCell ref="A30:G32"/>
    <mergeCell ref="A1:G1"/>
    <mergeCell ref="A2:G2"/>
    <mergeCell ref="A4:G4"/>
    <mergeCell ref="A9:G9"/>
    <mergeCell ref="A18:G18"/>
  </mergeCells>
  <conditionalFormatting sqref="A20:G28">
    <cfRule type="expression" dxfId="4" priority="4">
      <formula>$D20=MAX($D$20:$D$28)</formula>
    </cfRule>
  </conditionalFormatting>
  <conditionalFormatting sqref="D14:E14">
    <cfRule type="expression" dxfId="3" priority="2">
      <formula>$D$14&lt;0</formula>
    </cfRule>
    <cfRule type="expression" dxfId="2" priority="3">
      <formula>$D$14&gt;0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G29"/>
  <sheetViews>
    <sheetView showGridLines="0" zoomScaleNormal="100" workbookViewId="0">
      <selection sqref="A1:G1"/>
    </sheetView>
  </sheetViews>
  <sheetFormatPr defaultColWidth="8.6328125" defaultRowHeight="14.5" x14ac:dyDescent="0.35"/>
  <cols>
    <col min="1" max="1" width="22" customWidth="1"/>
    <col min="2" max="2" width="15" customWidth="1"/>
    <col min="3" max="3" width="16" customWidth="1"/>
    <col min="4" max="4" width="14" customWidth="1"/>
    <col min="5" max="5" width="15" customWidth="1"/>
    <col min="6" max="6" width="16" customWidth="1"/>
    <col min="7" max="7" width="14" customWidth="1"/>
  </cols>
  <sheetData>
    <row r="1" spans="1:7" ht="31.5" customHeight="1" x14ac:dyDescent="0.35">
      <c r="A1" s="2" t="s">
        <v>129</v>
      </c>
      <c r="B1" s="2"/>
      <c r="C1" s="2"/>
      <c r="D1" s="2"/>
      <c r="E1" s="2"/>
      <c r="F1" s="2"/>
      <c r="G1" s="2"/>
    </row>
    <row r="2" spans="1:7" ht="19.5" customHeight="1" x14ac:dyDescent="0.35">
      <c r="A2" s="13" t="s">
        <v>130</v>
      </c>
      <c r="B2" s="13"/>
      <c r="C2" s="13"/>
      <c r="D2" s="13"/>
      <c r="E2" s="13"/>
      <c r="F2" s="13"/>
      <c r="G2" s="13"/>
    </row>
    <row r="4" spans="1:7" ht="15" customHeight="1" x14ac:dyDescent="0.35">
      <c r="A4" s="1" t="s">
        <v>131</v>
      </c>
      <c r="B4" s="1"/>
      <c r="C4" s="1"/>
      <c r="D4" s="1"/>
      <c r="E4" s="1"/>
      <c r="F4" s="1"/>
      <c r="G4" s="1"/>
    </row>
    <row r="5" spans="1:7" x14ac:dyDescent="0.35">
      <c r="A5" s="24" t="s">
        <v>132</v>
      </c>
      <c r="B5" s="50">
        <f>ABS(CORREL(Dataset!$I$2:$I$201,Dataset!$E$2:$E$201))</f>
        <v>0.77340306414342652</v>
      </c>
    </row>
    <row r="6" spans="1:7" x14ac:dyDescent="0.35">
      <c r="A6" s="24" t="s">
        <v>133</v>
      </c>
      <c r="B6" s="50">
        <f>RSQ(Dataset!$I$2:$I$201,Dataset!$E$2:$E$201)</f>
        <v>0.5981522996264409</v>
      </c>
    </row>
    <row r="7" spans="1:7" x14ac:dyDescent="0.35">
      <c r="A7" s="24" t="s">
        <v>134</v>
      </c>
      <c r="B7" s="50">
        <f>1-(1-B6)*(B9-1)/(B9-2)</f>
        <v>0.59612276578617041</v>
      </c>
    </row>
    <row r="8" spans="1:7" x14ac:dyDescent="0.35">
      <c r="A8" s="24" t="s">
        <v>135</v>
      </c>
      <c r="B8" s="51">
        <f>STEYX(Dataset!$I$2:$I$201,Dataset!$E$2:$E$201)</f>
        <v>86.281230529665095</v>
      </c>
    </row>
    <row r="9" spans="1:7" x14ac:dyDescent="0.35">
      <c r="A9" s="24" t="s">
        <v>136</v>
      </c>
      <c r="B9" s="27">
        <f>COUNT(Dataset!$E$2:$E$201)</f>
        <v>200</v>
      </c>
    </row>
    <row r="11" spans="1:7" ht="15" customHeight="1" x14ac:dyDescent="0.35">
      <c r="A11" s="1" t="s">
        <v>137</v>
      </c>
      <c r="B11" s="1"/>
      <c r="C11" s="1"/>
      <c r="D11" s="1"/>
      <c r="E11" s="1"/>
      <c r="F11" s="1"/>
      <c r="G11" s="1"/>
    </row>
    <row r="12" spans="1:7" ht="30" customHeight="1" x14ac:dyDescent="0.35">
      <c r="A12" s="28"/>
      <c r="B12" s="28" t="s">
        <v>138</v>
      </c>
      <c r="C12" s="28" t="s">
        <v>139</v>
      </c>
      <c r="D12" s="28" t="s">
        <v>140</v>
      </c>
      <c r="E12" s="28" t="s">
        <v>141</v>
      </c>
      <c r="F12" s="28" t="s">
        <v>142</v>
      </c>
    </row>
    <row r="13" spans="1:7" x14ac:dyDescent="0.35">
      <c r="A13" s="24" t="s">
        <v>143</v>
      </c>
      <c r="B13" s="20">
        <v>1</v>
      </c>
      <c r="C13" s="19">
        <f>B6*DEVSQ(Dataset!$I$2:$I$201)</f>
        <v>2194058.1833402836</v>
      </c>
      <c r="D13" s="19">
        <f>C13/B13</f>
        <v>2194058.1833402836</v>
      </c>
      <c r="E13" s="52">
        <f>D13/D14</f>
        <v>294.72398427548166</v>
      </c>
      <c r="F13" s="53">
        <f>FDIST(E13,B13,B14)</f>
        <v>4.6269367558905227E-41</v>
      </c>
    </row>
    <row r="14" spans="1:7" x14ac:dyDescent="0.35">
      <c r="A14" s="24" t="s">
        <v>144</v>
      </c>
      <c r="B14" s="20">
        <f>B9-2</f>
        <v>198</v>
      </c>
      <c r="C14" s="19">
        <f>(1-B6)*DEVSQ(Dataset!$I$2:$I$201)</f>
        <v>1474001.2468592166</v>
      </c>
      <c r="D14" s="19">
        <f>C14/B14</f>
        <v>7444.4507417132154</v>
      </c>
      <c r="E14" s="18"/>
      <c r="F14" s="18"/>
    </row>
    <row r="15" spans="1:7" x14ac:dyDescent="0.35">
      <c r="A15" s="34" t="s">
        <v>107</v>
      </c>
      <c r="B15" s="54">
        <f>B9-1</f>
        <v>199</v>
      </c>
      <c r="C15" s="55">
        <f>DEVSQ(Dataset!$I$2:$I$201)</f>
        <v>3668059.4301995002</v>
      </c>
      <c r="D15" s="38"/>
      <c r="E15" s="38"/>
      <c r="F15" s="38"/>
    </row>
    <row r="17" spans="1:7" ht="15" customHeight="1" x14ac:dyDescent="0.35">
      <c r="A17" s="1" t="s">
        <v>145</v>
      </c>
      <c r="B17" s="1"/>
      <c r="C17" s="1"/>
      <c r="D17" s="1"/>
      <c r="E17" s="1"/>
      <c r="F17" s="1"/>
      <c r="G17" s="1"/>
    </row>
    <row r="18" spans="1:7" ht="30" customHeight="1" x14ac:dyDescent="0.35">
      <c r="A18" s="28"/>
      <c r="B18" s="28" t="s">
        <v>145</v>
      </c>
      <c r="C18" s="28" t="s">
        <v>135</v>
      </c>
      <c r="D18" s="28" t="s">
        <v>146</v>
      </c>
      <c r="E18" s="28" t="s">
        <v>147</v>
      </c>
      <c r="F18" s="28" t="s">
        <v>148</v>
      </c>
      <c r="G18" s="28" t="s">
        <v>149</v>
      </c>
    </row>
    <row r="19" spans="1:7" x14ac:dyDescent="0.35">
      <c r="A19" s="24" t="s">
        <v>150</v>
      </c>
      <c r="B19" s="52">
        <f>INTERCEPT(Dataset!$I$2:$I$201,Dataset!$E$2:$E$201)</f>
        <v>-1.0315504901910799</v>
      </c>
      <c r="C19" s="52">
        <f>B8*SQRT(1/B9+AVERAGE(Dataset!$E$2:$E$201)^2/DEVSQ(Dataset!$E$2:$E$201))</f>
        <v>20.86061700544548</v>
      </c>
      <c r="D19" s="56">
        <f>B19/C19</f>
        <v>-4.9449663445803295E-2</v>
      </c>
      <c r="E19" s="53">
        <f>TDIST(ABS(D19),$B$14,2)</f>
        <v>0.9606107969690767</v>
      </c>
      <c r="F19" s="52">
        <f>B19-TINV(0.05,$B$14)*C19</f>
        <v>-42.169051823378858</v>
      </c>
      <c r="G19" s="52">
        <f>B19+TINV(0.05,$B$14)*C19</f>
        <v>40.105950842996698</v>
      </c>
    </row>
    <row r="20" spans="1:7" x14ac:dyDescent="0.35">
      <c r="A20" s="24" t="s">
        <v>151</v>
      </c>
      <c r="B20" s="57">
        <f>SLOPE(Dataset!$I$2:$I$201,Dataset!$E$2:$E$201)</f>
        <v>0.35085598819512248</v>
      </c>
      <c r="C20" s="57">
        <f>B8/SQRT(DEVSQ(Dataset!$E$2:$E$201))</f>
        <v>2.0437188630135609E-2</v>
      </c>
      <c r="D20" s="56">
        <f>B20/C20</f>
        <v>17.167527028535059</v>
      </c>
      <c r="E20" s="53">
        <f>TDIST(ABS(D20),$B$14,2)</f>
        <v>4.6269367558904575E-41</v>
      </c>
      <c r="F20" s="57">
        <f>B20-TINV(0.05,$B$14)*C20</f>
        <v>0.31055349501865759</v>
      </c>
      <c r="G20" s="57">
        <f>B20+TINV(0.05,$B$14)*C20</f>
        <v>0.39115848137158737</v>
      </c>
    </row>
    <row r="22" spans="1:7" ht="15" customHeight="1" x14ac:dyDescent="0.35">
      <c r="A22" s="1" t="s">
        <v>152</v>
      </c>
      <c r="B22" s="1"/>
      <c r="C22" s="1"/>
      <c r="D22" s="1"/>
      <c r="E22" s="1"/>
      <c r="F22" s="1"/>
      <c r="G22" s="1"/>
    </row>
    <row r="23" spans="1:7" ht="30" customHeight="1" x14ac:dyDescent="0.35">
      <c r="A23" s="76" t="str">
        <f>"Equation:  Profit = "&amp;TEXT(B20,"0.0000")&amp;" × Sales "&amp;TEXT(B19,"+ 0.00;- 0.00")</f>
        <v>Equation:  Profit = 0.3509 × Sales - 1.03</v>
      </c>
      <c r="B23" s="76"/>
      <c r="C23" s="76"/>
      <c r="D23" s="76"/>
      <c r="E23" s="76"/>
      <c r="F23" s="76"/>
      <c r="G23" s="76"/>
    </row>
    <row r="24" spans="1:7" ht="30" customHeight="1" x14ac:dyDescent="0.35">
      <c r="A24" s="76" t="str">
        <f>"Sales explains "&amp;TEXT(B6,"0.0%")&amp;" of the variation in Profit (R² = "&amp;TEXT(B6,"0.000")&amp;"); each extra 1 unit of Sales adds about "&amp;TEXT(B20,"0.000")&amp;" units of Profit."</f>
        <v>Sales explains 59.8% of the variation in Profit (R² = 0.598); each extra 1 unit of Sales adds about 0.351 units of Profit.</v>
      </c>
      <c r="B24" s="76"/>
      <c r="C24" s="76"/>
      <c r="D24" s="76"/>
      <c r="E24" s="76"/>
      <c r="F24" s="76"/>
      <c r="G24" s="76"/>
    </row>
    <row r="25" spans="1:7" ht="30" customHeight="1" x14ac:dyDescent="0.35">
      <c r="A25" s="76" t="str">
        <f>IF(F13&lt;0.05,"The relationship is statistically significant (Significance F = "&amp;TEXT(F13,"0.0000")&amp;" &lt; 0.05).","The relationship is NOT statistically significant at the 5% level (Significance F = "&amp;TEXT(F13,"0.0000")&amp;").")</f>
        <v>The relationship is statistically significant (Significance F = 0.0000 &lt; 0.05).</v>
      </c>
      <c r="B25" s="76"/>
      <c r="C25" s="76"/>
      <c r="D25" s="76"/>
      <c r="E25" s="76"/>
      <c r="F25" s="76"/>
      <c r="G25" s="76"/>
    </row>
    <row r="27" spans="1:7" ht="15" customHeight="1" x14ac:dyDescent="0.35">
      <c r="A27" s="1" t="s">
        <v>153</v>
      </c>
      <c r="B27" s="1"/>
      <c r="C27" s="1"/>
      <c r="D27" s="1"/>
      <c r="E27" s="1"/>
      <c r="F27" s="1"/>
      <c r="G27" s="1"/>
    </row>
    <row r="28" spans="1:7" x14ac:dyDescent="0.35">
      <c r="A28" s="24" t="s">
        <v>154</v>
      </c>
      <c r="B28" s="58">
        <v>1000</v>
      </c>
    </row>
    <row r="29" spans="1:7" x14ac:dyDescent="0.35">
      <c r="A29" s="24" t="s">
        <v>155</v>
      </c>
      <c r="B29" s="59">
        <f>B19+B20*B28</f>
        <v>349.82443770493143</v>
      </c>
    </row>
  </sheetData>
  <mergeCells count="10">
    <mergeCell ref="A22:G22"/>
    <mergeCell ref="A23:G23"/>
    <mergeCell ref="A24:G24"/>
    <mergeCell ref="A25:G25"/>
    <mergeCell ref="A27:G27"/>
    <mergeCell ref="A1:G1"/>
    <mergeCell ref="A2:G2"/>
    <mergeCell ref="A4:G4"/>
    <mergeCell ref="A11:G11"/>
    <mergeCell ref="A17:G1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B9BD5"/>
  </sheetPr>
  <dimension ref="A1:E34"/>
  <sheetViews>
    <sheetView showGridLines="0" zoomScaleNormal="100" workbookViewId="0">
      <selection sqref="A1:E1"/>
    </sheetView>
  </sheetViews>
  <sheetFormatPr defaultColWidth="8.6328125" defaultRowHeight="14.5" x14ac:dyDescent="0.35"/>
  <cols>
    <col min="1" max="1" width="26" customWidth="1"/>
    <col min="2" max="2" width="16" customWidth="1"/>
    <col min="3" max="5" width="14" customWidth="1"/>
  </cols>
  <sheetData>
    <row r="1" spans="1:5" ht="31.5" customHeight="1" x14ac:dyDescent="0.35">
      <c r="A1" s="2" t="s">
        <v>156</v>
      </c>
      <c r="B1" s="2"/>
      <c r="C1" s="2"/>
      <c r="D1" s="2"/>
      <c r="E1" s="2"/>
    </row>
    <row r="2" spans="1:5" ht="19.5" customHeight="1" x14ac:dyDescent="0.35">
      <c r="A2" s="13" t="s">
        <v>157</v>
      </c>
      <c r="B2" s="13"/>
      <c r="C2" s="13"/>
      <c r="D2" s="13"/>
      <c r="E2" s="13"/>
    </row>
    <row r="5" spans="1:5" ht="30" customHeight="1" x14ac:dyDescent="0.35">
      <c r="A5" s="28" t="s">
        <v>158</v>
      </c>
      <c r="B5" s="28" t="s">
        <v>13</v>
      </c>
      <c r="C5" s="28" t="s">
        <v>14</v>
      </c>
      <c r="D5" s="28" t="s">
        <v>15</v>
      </c>
      <c r="E5" s="28" t="s">
        <v>17</v>
      </c>
    </row>
    <row r="6" spans="1:5" x14ac:dyDescent="0.35">
      <c r="A6" s="24" t="s">
        <v>159</v>
      </c>
      <c r="B6" s="26">
        <f>AVERAGE(Dataset!$E$2:$E$201)</f>
        <v>976.08879999999965</v>
      </c>
      <c r="C6" s="26">
        <f>AVERAGE(Dataset!$F$2:$F$201)</f>
        <v>9.9949999999999992</v>
      </c>
      <c r="D6" s="50">
        <f>AVERAGE(Dataset!$G$2:$G$201)</f>
        <v>9.7250000000000003E-2</v>
      </c>
      <c r="E6" s="26">
        <f>AVERAGE(Dataset!$I$2:$I$201)</f>
        <v>341.43505000000005</v>
      </c>
    </row>
    <row r="7" spans="1:5" x14ac:dyDescent="0.35">
      <c r="A7" s="24" t="s">
        <v>135</v>
      </c>
      <c r="B7" s="26">
        <f>STDEV(Dataset!$E$2:$E$201)/SQRT(COUNT(Dataset!$E$2:$E$201))</f>
        <v>21.161850448978406</v>
      </c>
      <c r="C7" s="26">
        <f>STDEV(Dataset!$F$2:$F$201)/SQRT(COUNT(Dataset!$F$2:$F$201))</f>
        <v>0.39927682743257598</v>
      </c>
      <c r="D7" s="50">
        <f>STDEV(Dataset!$G$2:$G$201)/SQRT(COUNT(Dataset!$G$2:$G$201))</f>
        <v>5.1142413732752686E-3</v>
      </c>
      <c r="E7" s="26">
        <f>STDEV(Dataset!$I$2:$I$201)/SQRT(COUNT(Dataset!$I$2:$I$201))</f>
        <v>9.6001196472332531</v>
      </c>
    </row>
    <row r="8" spans="1:5" x14ac:dyDescent="0.35">
      <c r="A8" s="24" t="s">
        <v>160</v>
      </c>
      <c r="B8" s="26">
        <f>MEDIAN(Dataset!$E$2:$E$201)</f>
        <v>976.72</v>
      </c>
      <c r="C8" s="26">
        <f>MEDIAN(Dataset!$F$2:$F$201)</f>
        <v>10</v>
      </c>
      <c r="D8" s="50">
        <f>MEDIAN(Dataset!$G$2:$G$201)</f>
        <v>0.1</v>
      </c>
      <c r="E8" s="26">
        <f>MEDIAN(Dataset!$I$2:$I$201)</f>
        <v>332.255</v>
      </c>
    </row>
    <row r="9" spans="1:5" x14ac:dyDescent="0.35">
      <c r="A9" s="24" t="s">
        <v>161</v>
      </c>
      <c r="B9" s="26" t="str">
        <f>IFERROR(MODE(Dataset!$E$2:$E$201),"No mode")</f>
        <v>No mode</v>
      </c>
      <c r="C9" s="26">
        <f>IFERROR(MODE(Dataset!$F$2:$F$201),"No mode")</f>
        <v>8</v>
      </c>
      <c r="D9" s="50">
        <f>IFERROR(MODE(Dataset!$G$2:$G$201),"No mode")</f>
        <v>0.2</v>
      </c>
      <c r="E9" s="26" t="str">
        <f>IFERROR(MODE(Dataset!$I$2:$I$201),"No mode")</f>
        <v>No mode</v>
      </c>
    </row>
    <row r="10" spans="1:5" x14ac:dyDescent="0.35">
      <c r="A10" s="24" t="s">
        <v>162</v>
      </c>
      <c r="B10" s="26">
        <f>STDEV(Dataset!$E$2:$E$201)</f>
        <v>299.27375909856431</v>
      </c>
      <c r="C10" s="26">
        <f>STDEV(Dataset!$F$2:$F$201)</f>
        <v>5.6466270449645082</v>
      </c>
      <c r="D10" s="50">
        <f>STDEV(Dataset!$G$2:$G$201)</f>
        <v>7.232629511335488E-2</v>
      </c>
      <c r="E10" s="26">
        <f>STDEV(Dataset!$I$2:$I$201)</f>
        <v>135.7661940552168</v>
      </c>
    </row>
    <row r="11" spans="1:5" x14ac:dyDescent="0.35">
      <c r="A11" s="24" t="s">
        <v>163</v>
      </c>
      <c r="B11" s="26">
        <f>VAR(Dataset!$E$2:$E$201)</f>
        <v>89564.782884985514</v>
      </c>
      <c r="C11" s="26">
        <f>VAR(Dataset!$F$2:$F$201)</f>
        <v>31.884396984924617</v>
      </c>
      <c r="D11" s="50">
        <f>VAR(Dataset!$G$2:$G$201)</f>
        <v>5.2310929648241022E-3</v>
      </c>
      <c r="E11" s="26">
        <f>VAR(Dataset!$I$2:$I$201)</f>
        <v>18432.459448238787</v>
      </c>
    </row>
    <row r="12" spans="1:5" x14ac:dyDescent="0.35">
      <c r="A12" s="24" t="s">
        <v>164</v>
      </c>
      <c r="B12" s="26">
        <f>KURT(Dataset!$E$2:$E$201)</f>
        <v>-8.8595231919740502E-2</v>
      </c>
      <c r="C12" s="26">
        <f>KURT(Dataset!$F$2:$F$201)</f>
        <v>-1.2091053826620759</v>
      </c>
      <c r="D12" s="50">
        <f>KURT(Dataset!$G$2:$G$201)</f>
        <v>-1.3257012415855784</v>
      </c>
      <c r="E12" s="26">
        <f>KURT(Dataset!$I$2:$I$201)</f>
        <v>0.26450643813582442</v>
      </c>
    </row>
    <row r="13" spans="1:5" x14ac:dyDescent="0.35">
      <c r="A13" s="24" t="s">
        <v>165</v>
      </c>
      <c r="B13" s="26">
        <f>SKEW(Dataset!$E$2:$E$201)</f>
        <v>0.14685796564193557</v>
      </c>
      <c r="C13" s="26">
        <f>SKEW(Dataset!$F$2:$F$201)</f>
        <v>6.084586432077814E-2</v>
      </c>
      <c r="D13" s="50">
        <f>SKEW(Dataset!$G$2:$G$201)</f>
        <v>9.6827385576684841E-2</v>
      </c>
      <c r="E13" s="26">
        <f>SKEW(Dataset!$I$2:$I$201)</f>
        <v>0.57339636063424715</v>
      </c>
    </row>
    <row r="14" spans="1:5" x14ac:dyDescent="0.35">
      <c r="A14" s="24" t="s">
        <v>166</v>
      </c>
      <c r="B14" s="26">
        <f>MAX(Dataset!$E$2:$E$201)-MIN(Dataset!$E$2:$E$201)</f>
        <v>1665.15</v>
      </c>
      <c r="C14" s="26">
        <f>MAX(Dataset!$F$2:$F$201)-MIN(Dataset!$F$2:$F$201)</f>
        <v>18</v>
      </c>
      <c r="D14" s="50">
        <f>MAX(Dataset!$G$2:$G$201)-MIN(Dataset!$G$2:$G$201)</f>
        <v>0.2</v>
      </c>
      <c r="E14" s="26">
        <f>MAX(Dataset!$I$2:$I$201)-MIN(Dataset!$I$2:$I$201)</f>
        <v>704.83</v>
      </c>
    </row>
    <row r="15" spans="1:5" x14ac:dyDescent="0.35">
      <c r="A15" s="24" t="s">
        <v>167</v>
      </c>
      <c r="B15" s="26">
        <f>MIN(Dataset!$E$2:$E$201)</f>
        <v>258.51</v>
      </c>
      <c r="C15" s="26">
        <f>MIN(Dataset!$F$2:$F$201)</f>
        <v>1</v>
      </c>
      <c r="D15" s="50">
        <f>MIN(Dataset!$G$2:$G$201)</f>
        <v>0</v>
      </c>
      <c r="E15" s="26">
        <f>MIN(Dataset!$I$2:$I$201)</f>
        <v>64.63</v>
      </c>
    </row>
    <row r="16" spans="1:5" x14ac:dyDescent="0.35">
      <c r="A16" s="24" t="s">
        <v>168</v>
      </c>
      <c r="B16" s="26">
        <f>MAX(Dataset!$E$2:$E$201)</f>
        <v>1923.66</v>
      </c>
      <c r="C16" s="26">
        <f>MAX(Dataset!$F$2:$F$201)</f>
        <v>19</v>
      </c>
      <c r="D16" s="50">
        <f>MAX(Dataset!$G$2:$G$201)</f>
        <v>0.2</v>
      </c>
      <c r="E16" s="26">
        <f>MAX(Dataset!$I$2:$I$201)</f>
        <v>769.46</v>
      </c>
    </row>
    <row r="17" spans="1:5" x14ac:dyDescent="0.35">
      <c r="A17" s="24" t="s">
        <v>169</v>
      </c>
      <c r="B17" s="26">
        <f>SUM(Dataset!$E$2:$E$201)</f>
        <v>195217.75999999992</v>
      </c>
      <c r="C17" s="26">
        <f>SUM(Dataset!$F$2:$F$201)</f>
        <v>1999</v>
      </c>
      <c r="D17" s="50">
        <f>SUM(Dataset!$G$2:$G$201)</f>
        <v>19.45</v>
      </c>
      <c r="E17" s="26">
        <f>SUM(Dataset!$I$2:$I$201)</f>
        <v>68287.010000000009</v>
      </c>
    </row>
    <row r="18" spans="1:5" x14ac:dyDescent="0.35">
      <c r="A18" s="24" t="s">
        <v>170</v>
      </c>
      <c r="B18" s="27">
        <f>COUNT(Dataset!$E$2:$E$201)</f>
        <v>200</v>
      </c>
      <c r="C18" s="27">
        <f>COUNT(Dataset!$F$2:$F$201)</f>
        <v>200</v>
      </c>
      <c r="D18" s="27">
        <f>COUNT(Dataset!$G$2:$G$201)</f>
        <v>200</v>
      </c>
      <c r="E18" s="27">
        <f>COUNT(Dataset!$I$2:$I$201)</f>
        <v>200</v>
      </c>
    </row>
    <row r="19" spans="1:5" x14ac:dyDescent="0.35">
      <c r="A19" s="24" t="s">
        <v>171</v>
      </c>
      <c r="B19" s="26">
        <f>TINV(0.05,COUNT(Dataset!$E$2:$E$201)-1)*STDEV(Dataset!$E$2:$E$201)/SQRT(COUNT(Dataset!$E$2:$E$201))</f>
        <v>41.730249481339904</v>
      </c>
      <c r="C19" s="26">
        <f>TINV(0.05,COUNT(Dataset!$F$2:$F$201)-1)*STDEV(Dataset!$F$2:$F$201)/SQRT(COUNT(Dataset!$F$2:$F$201))</f>
        <v>0.78735655282374695</v>
      </c>
      <c r="D19" s="50">
        <f>TINV(0.05,COUNT(Dataset!$G$2:$G$201)-1)*STDEV(Dataset!$G$2:$G$201)/SQRT(COUNT(Dataset!$G$2:$G$201))</f>
        <v>1.008506174491325E-2</v>
      </c>
      <c r="E19" s="26">
        <f>TINV(0.05,COUNT(Dataset!$I$2:$I$201)-1)*STDEV(Dataset!$I$2:$I$201)/SQRT(COUNT(Dataset!$I$2:$I$201))</f>
        <v>18.931018763961465</v>
      </c>
    </row>
    <row r="22" spans="1:5" ht="15" customHeight="1" x14ac:dyDescent="0.35">
      <c r="A22" s="1" t="s">
        <v>172</v>
      </c>
      <c r="B22" s="1"/>
      <c r="C22" s="1"/>
      <c r="D22" s="1"/>
      <c r="E22" s="1"/>
    </row>
    <row r="23" spans="1:5" ht="30" customHeight="1" x14ac:dyDescent="0.35">
      <c r="A23" s="28" t="s">
        <v>173</v>
      </c>
      <c r="B23" s="28" t="s">
        <v>174</v>
      </c>
      <c r="C23" s="28" t="s">
        <v>175</v>
      </c>
      <c r="D23" s="28" t="s">
        <v>176</v>
      </c>
      <c r="E23" s="28" t="s">
        <v>177</v>
      </c>
    </row>
    <row r="24" spans="1:5" x14ac:dyDescent="0.35">
      <c r="A24" s="60">
        <v>500</v>
      </c>
      <c r="B24" s="29" t="str">
        <f>TEXT(0,"#,##0")&amp;" – "&amp;TEXT(A24,"#,##0")</f>
        <v>0 – 500</v>
      </c>
      <c r="C24" s="31">
        <f>COUNTIFS(Dataset!$E$2:$E$201,"&gt;"&amp;0,Dataset!$E$2:$E$201,"&lt;="&amp;A24)</f>
        <v>11</v>
      </c>
      <c r="D24" s="30">
        <f t="shared" ref="D24:D30" si="0">C24/$C$31</f>
        <v>5.5E-2</v>
      </c>
      <c r="E24" s="30">
        <f>SUM($C$24:C24)/$C$31</f>
        <v>5.5E-2</v>
      </c>
    </row>
    <row r="25" spans="1:5" x14ac:dyDescent="0.35">
      <c r="A25" s="60">
        <v>750</v>
      </c>
      <c r="B25" s="29" t="str">
        <f t="shared" ref="B25:B30" si="1">TEXT(A24,"#,##0")&amp;" – "&amp;TEXT(A25,"#,##0")</f>
        <v>500 – 750</v>
      </c>
      <c r="C25" s="31">
        <f>COUNTIFS(Dataset!$E$2:$E$201,"&gt;"&amp;A24,Dataset!$E$2:$E$201,"&lt;="&amp;A25)</f>
        <v>37</v>
      </c>
      <c r="D25" s="30">
        <f t="shared" si="0"/>
        <v>0.185</v>
      </c>
      <c r="E25" s="30">
        <f>SUM($C$24:C25)/$C$31</f>
        <v>0.24</v>
      </c>
    </row>
    <row r="26" spans="1:5" x14ac:dyDescent="0.35">
      <c r="A26" s="60">
        <v>1000</v>
      </c>
      <c r="B26" s="29" t="str">
        <f t="shared" si="1"/>
        <v>750 – 1,000</v>
      </c>
      <c r="C26" s="31">
        <f>COUNTIFS(Dataset!$E$2:$E$201,"&gt;"&amp;A25,Dataset!$E$2:$E$201,"&lt;="&amp;A26)</f>
        <v>58</v>
      </c>
      <c r="D26" s="30">
        <f t="shared" si="0"/>
        <v>0.28999999999999998</v>
      </c>
      <c r="E26" s="30">
        <f>SUM($C$24:C26)/$C$31</f>
        <v>0.53</v>
      </c>
    </row>
    <row r="27" spans="1:5" x14ac:dyDescent="0.35">
      <c r="A27" s="60">
        <v>1250</v>
      </c>
      <c r="B27" s="29" t="str">
        <f t="shared" si="1"/>
        <v>1,000 – 1,250</v>
      </c>
      <c r="C27" s="31">
        <f>COUNTIFS(Dataset!$E$2:$E$201,"&gt;"&amp;A26,Dataset!$E$2:$E$201,"&lt;="&amp;A27)</f>
        <v>60</v>
      </c>
      <c r="D27" s="30">
        <f t="shared" si="0"/>
        <v>0.3</v>
      </c>
      <c r="E27" s="30">
        <f>SUM($C$24:C27)/$C$31</f>
        <v>0.83</v>
      </c>
    </row>
    <row r="28" spans="1:5" x14ac:dyDescent="0.35">
      <c r="A28" s="60">
        <v>1500</v>
      </c>
      <c r="B28" s="29" t="str">
        <f t="shared" si="1"/>
        <v>1,250 – 1,500</v>
      </c>
      <c r="C28" s="31">
        <f>COUNTIFS(Dataset!$E$2:$E$201,"&gt;"&amp;A27,Dataset!$E$2:$E$201,"&lt;="&amp;A28)</f>
        <v>25</v>
      </c>
      <c r="D28" s="30">
        <f t="shared" si="0"/>
        <v>0.125</v>
      </c>
      <c r="E28" s="30">
        <f>SUM($C$24:C28)/$C$31</f>
        <v>0.95499999999999996</v>
      </c>
    </row>
    <row r="29" spans="1:5" x14ac:dyDescent="0.35">
      <c r="A29" s="60">
        <v>1750</v>
      </c>
      <c r="B29" s="29" t="str">
        <f t="shared" si="1"/>
        <v>1,500 – 1,750</v>
      </c>
      <c r="C29" s="31">
        <f>COUNTIFS(Dataset!$E$2:$E$201,"&gt;"&amp;A28,Dataset!$E$2:$E$201,"&lt;="&amp;A29)</f>
        <v>8</v>
      </c>
      <c r="D29" s="30">
        <f t="shared" si="0"/>
        <v>0.04</v>
      </c>
      <c r="E29" s="30">
        <f>SUM($C$24:C29)/$C$31</f>
        <v>0.995</v>
      </c>
    </row>
    <row r="30" spans="1:5" x14ac:dyDescent="0.35">
      <c r="A30" s="60">
        <v>2000</v>
      </c>
      <c r="B30" s="29" t="str">
        <f t="shared" si="1"/>
        <v>1,750 – 2,000</v>
      </c>
      <c r="C30" s="31">
        <f>COUNTIFS(Dataset!$E$2:$E$201,"&gt;"&amp;A29,Dataset!$E$2:$E$201,"&lt;="&amp;A30)</f>
        <v>1</v>
      </c>
      <c r="D30" s="30">
        <f t="shared" si="0"/>
        <v>5.0000000000000001E-3</v>
      </c>
      <c r="E30" s="30">
        <f>SUM($C$24:C30)/$C$31</f>
        <v>1</v>
      </c>
    </row>
    <row r="31" spans="1:5" x14ac:dyDescent="0.35">
      <c r="A31" s="34" t="s">
        <v>107</v>
      </c>
      <c r="B31" s="38"/>
      <c r="C31" s="61">
        <f>SUM(C24:C30)</f>
        <v>200</v>
      </c>
      <c r="D31" s="37">
        <f>SUM(D24:D30)</f>
        <v>1</v>
      </c>
      <c r="E31" s="38"/>
    </row>
    <row r="33" spans="1:5" x14ac:dyDescent="0.35">
      <c r="A33" s="76" t="str">
        <f>"Sales: mean "&amp;TEXT(B6,"#,##0")&amp;" vs median "&amp;TEXT(B8,"#,##0")&amp;" – the distribution is "&amp;IF(ABS(B13)&lt;0.5,"roughly symmetric",IF(B13&gt;0,"right-skewed","left-skewed"))&amp;" (skewness "&amp;TEXT(B13,"0.00")&amp;")."</f>
        <v>Sales: mean 976 vs median 977 – the distribution is roughly symmetric (skewness 0.15).</v>
      </c>
      <c r="B33" s="76"/>
      <c r="C33" s="76"/>
      <c r="D33" s="76"/>
      <c r="E33" s="76"/>
    </row>
    <row r="34" spans="1:5" x14ac:dyDescent="0.35">
      <c r="A34" s="76" t="str">
        <f>"Profit: mean "&amp;TEXT(E6,"#,##0")&amp;", standard deviation "&amp;TEXT(E10,"#,##0")&amp;" – typical order profit lies roughly between "&amp;TEXT(E6-E10,"#,##0")&amp;" and "&amp;TEXT(E6+E10,"#,##0")&amp;"."</f>
        <v>Profit: mean 341, standard deviation 136 – typical order profit lies roughly between 206 and 477.</v>
      </c>
      <c r="B34" s="76"/>
      <c r="C34" s="76"/>
      <c r="D34" s="76"/>
      <c r="E34" s="76"/>
    </row>
  </sheetData>
  <mergeCells count="5">
    <mergeCell ref="A1:E1"/>
    <mergeCell ref="A2:E2"/>
    <mergeCell ref="A22:E22"/>
    <mergeCell ref="A33:E33"/>
    <mergeCell ref="A34:E3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H21"/>
  <sheetViews>
    <sheetView showGridLines="0" zoomScaleNormal="100" workbookViewId="0">
      <selection sqref="A1:H1"/>
    </sheetView>
  </sheetViews>
  <sheetFormatPr defaultColWidth="8.6328125" defaultRowHeight="14.5" x14ac:dyDescent="0.35"/>
  <cols>
    <col min="1" max="1" width="14" customWidth="1"/>
    <col min="2" max="2" width="10" customWidth="1"/>
    <col min="3" max="4" width="13" customWidth="1"/>
    <col min="5" max="5" width="15" customWidth="1"/>
    <col min="6" max="7" width="18" customWidth="1"/>
    <col min="8" max="8" width="16" customWidth="1"/>
  </cols>
  <sheetData>
    <row r="1" spans="1:8" ht="31.5" customHeight="1" x14ac:dyDescent="0.35">
      <c r="A1" s="2" t="s">
        <v>178</v>
      </c>
      <c r="B1" s="2"/>
      <c r="C1" s="2"/>
      <c r="D1" s="2"/>
      <c r="E1" s="2"/>
      <c r="F1" s="2"/>
      <c r="G1" s="2"/>
      <c r="H1" s="2"/>
    </row>
    <row r="2" spans="1:8" ht="19.5" customHeight="1" x14ac:dyDescent="0.35">
      <c r="A2" s="13" t="s">
        <v>179</v>
      </c>
      <c r="B2" s="13"/>
      <c r="C2" s="13"/>
      <c r="D2" s="13"/>
      <c r="E2" s="13"/>
      <c r="F2" s="13"/>
      <c r="G2" s="13"/>
      <c r="H2" s="13"/>
    </row>
    <row r="5" spans="1:8" ht="30" customHeight="1" x14ac:dyDescent="0.35">
      <c r="A5" s="28" t="s">
        <v>180</v>
      </c>
      <c r="B5" s="28" t="s">
        <v>98</v>
      </c>
      <c r="C5" s="28" t="s">
        <v>13</v>
      </c>
      <c r="D5" s="28" t="s">
        <v>17</v>
      </c>
      <c r="E5" s="28" t="s">
        <v>181</v>
      </c>
      <c r="F5" s="28" t="s">
        <v>182</v>
      </c>
      <c r="G5" s="28" t="s">
        <v>183</v>
      </c>
      <c r="H5" s="28" t="s">
        <v>101</v>
      </c>
    </row>
    <row r="6" spans="1:8" x14ac:dyDescent="0.35">
      <c r="A6" s="62">
        <f>DATE(YEAR(MIN(Dataset!$H$2:$H$201)),MONTH(MIN(Dataset!$H$2:$H$201)),1)</f>
        <v>45383</v>
      </c>
      <c r="B6" s="31">
        <f>COUNTIFS(Dataset!$H$2:$H$201,"&gt;="&amp;$A6,Dataset!$H$2:$H$201,"&lt;"&amp;EDATE($A6,1))</f>
        <v>19</v>
      </c>
      <c r="C6" s="44">
        <f>SUMIFS(Dataset!$E$2:$E$201,Dataset!$H$2:$H$201,"&gt;="&amp;$A6,Dataset!$H$2:$H$201,"&lt;"&amp;EDATE($A6,1))</f>
        <v>19029.96</v>
      </c>
      <c r="D6" s="44">
        <f>SUMIFS(Dataset!$I$2:$I$201,Dataset!$H$2:$H$201,"&gt;="&amp;$A6,Dataset!$H$2:$H$201,"&lt;"&amp;EDATE($A6,1))</f>
        <v>6244.01</v>
      </c>
      <c r="E6" s="63" t="s">
        <v>184</v>
      </c>
      <c r="F6" s="63" t="s">
        <v>184</v>
      </c>
      <c r="G6" s="63" t="s">
        <v>184</v>
      </c>
      <c r="H6" s="44">
        <f t="shared" ref="H6:H19" si="0">IF(B6=0,0,C6/B6)</f>
        <v>1001.5768421052632</v>
      </c>
    </row>
    <row r="7" spans="1:8" x14ac:dyDescent="0.35">
      <c r="A7" s="62">
        <f t="shared" ref="A7:A18" si="1">EDATE(A6,1)</f>
        <v>45413</v>
      </c>
      <c r="B7" s="31">
        <f>COUNTIFS(Dataset!$H$2:$H$201,"&gt;="&amp;$A7,Dataset!$H$2:$H$201,"&lt;"&amp;EDATE($A7,1))</f>
        <v>21</v>
      </c>
      <c r="C7" s="44">
        <f>SUMIFS(Dataset!$E$2:$E$201,Dataset!$H$2:$H$201,"&gt;="&amp;$A7,Dataset!$H$2:$H$201,"&lt;"&amp;EDATE($A7,1))</f>
        <v>18507.339999999997</v>
      </c>
      <c r="D7" s="44">
        <f>SUMIFS(Dataset!$I$2:$I$201,Dataset!$H$2:$H$201,"&gt;="&amp;$A7,Dataset!$H$2:$H$201,"&lt;"&amp;EDATE($A7,1))</f>
        <v>6121.3499999999995</v>
      </c>
      <c r="E7" s="64">
        <f t="shared" ref="E7:E18" si="2">C7-C6</f>
        <v>-522.62000000000262</v>
      </c>
      <c r="F7" s="65">
        <f t="shared" ref="F7:F18" si="3">IF(C6=0,0,(C7-C6)/C6)</f>
        <v>-2.7463010957458799E-2</v>
      </c>
      <c r="G7" s="65">
        <f t="shared" ref="G7:G18" si="4">IF(D6=0,0,(D7-D6)/D6)</f>
        <v>-1.9644427219046856E-2</v>
      </c>
      <c r="H7" s="44">
        <f t="shared" si="0"/>
        <v>881.30190476190455</v>
      </c>
    </row>
    <row r="8" spans="1:8" x14ac:dyDescent="0.35">
      <c r="A8" s="62">
        <f t="shared" si="1"/>
        <v>45444</v>
      </c>
      <c r="B8" s="31">
        <f>COUNTIFS(Dataset!$H$2:$H$201,"&gt;="&amp;$A8,Dataset!$H$2:$H$201,"&lt;"&amp;EDATE($A8,1))</f>
        <v>20</v>
      </c>
      <c r="C8" s="44">
        <f>SUMIFS(Dataset!$E$2:$E$201,Dataset!$H$2:$H$201,"&gt;="&amp;$A8,Dataset!$H$2:$H$201,"&lt;"&amp;EDATE($A8,1))</f>
        <v>20187.509999999998</v>
      </c>
      <c r="D8" s="44">
        <f>SUMIFS(Dataset!$I$2:$I$201,Dataset!$H$2:$H$201,"&gt;="&amp;$A8,Dataset!$H$2:$H$201,"&lt;"&amp;EDATE($A8,1))</f>
        <v>6918</v>
      </c>
      <c r="E8" s="64">
        <f t="shared" si="2"/>
        <v>1680.1700000000019</v>
      </c>
      <c r="F8" s="65">
        <f t="shared" si="3"/>
        <v>9.0783980842195702E-2</v>
      </c>
      <c r="G8" s="65">
        <f t="shared" si="4"/>
        <v>0.1301428606434856</v>
      </c>
      <c r="H8" s="44">
        <f t="shared" si="0"/>
        <v>1009.3754999999999</v>
      </c>
    </row>
    <row r="9" spans="1:8" x14ac:dyDescent="0.35">
      <c r="A9" s="62">
        <f t="shared" si="1"/>
        <v>45474</v>
      </c>
      <c r="B9" s="31">
        <f>COUNTIFS(Dataset!$H$2:$H$201,"&gt;="&amp;$A9,Dataset!$H$2:$H$201,"&lt;"&amp;EDATE($A9,1))</f>
        <v>12</v>
      </c>
      <c r="C9" s="44">
        <f>SUMIFS(Dataset!$E$2:$E$201,Dataset!$H$2:$H$201,"&gt;="&amp;$A9,Dataset!$H$2:$H$201,"&lt;"&amp;EDATE($A9,1))</f>
        <v>11609.039999999999</v>
      </c>
      <c r="D9" s="44">
        <f>SUMIFS(Dataset!$I$2:$I$201,Dataset!$H$2:$H$201,"&gt;="&amp;$A9,Dataset!$H$2:$H$201,"&lt;"&amp;EDATE($A9,1))</f>
        <v>3743.85</v>
      </c>
      <c r="E9" s="64">
        <f t="shared" si="2"/>
        <v>-8578.4699999999993</v>
      </c>
      <c r="F9" s="65">
        <f t="shared" si="3"/>
        <v>-0.42493947990614001</v>
      </c>
      <c r="G9" s="65">
        <f t="shared" si="4"/>
        <v>-0.45882480485689509</v>
      </c>
      <c r="H9" s="44">
        <f t="shared" si="0"/>
        <v>967.42</v>
      </c>
    </row>
    <row r="10" spans="1:8" x14ac:dyDescent="0.35">
      <c r="A10" s="62">
        <f t="shared" si="1"/>
        <v>45505</v>
      </c>
      <c r="B10" s="31">
        <f>COUNTIFS(Dataset!$H$2:$H$201,"&gt;="&amp;$A10,Dataset!$H$2:$H$201,"&lt;"&amp;EDATE($A10,1))</f>
        <v>10</v>
      </c>
      <c r="C10" s="44">
        <f>SUMIFS(Dataset!$E$2:$E$201,Dataset!$H$2:$H$201,"&gt;="&amp;$A10,Dataset!$H$2:$H$201,"&lt;"&amp;EDATE($A10,1))</f>
        <v>10091.699999999999</v>
      </c>
      <c r="D10" s="44">
        <f>SUMIFS(Dataset!$I$2:$I$201,Dataset!$H$2:$H$201,"&gt;="&amp;$A10,Dataset!$H$2:$H$201,"&lt;"&amp;EDATE($A10,1))</f>
        <v>3302.84</v>
      </c>
      <c r="E10" s="64">
        <f t="shared" si="2"/>
        <v>-1517.3400000000001</v>
      </c>
      <c r="F10" s="65">
        <f t="shared" si="3"/>
        <v>-0.13070331396911375</v>
      </c>
      <c r="G10" s="65">
        <f t="shared" si="4"/>
        <v>-0.11779585186372311</v>
      </c>
      <c r="H10" s="44">
        <f t="shared" si="0"/>
        <v>1009.1699999999998</v>
      </c>
    </row>
    <row r="11" spans="1:8" x14ac:dyDescent="0.35">
      <c r="A11" s="62">
        <f t="shared" si="1"/>
        <v>45536</v>
      </c>
      <c r="B11" s="31">
        <f>COUNTIFS(Dataset!$H$2:$H$201,"&gt;="&amp;$A11,Dataset!$H$2:$H$201,"&lt;"&amp;EDATE($A11,1))</f>
        <v>20</v>
      </c>
      <c r="C11" s="44">
        <f>SUMIFS(Dataset!$E$2:$E$201,Dataset!$H$2:$H$201,"&gt;="&amp;$A11,Dataset!$H$2:$H$201,"&lt;"&amp;EDATE($A11,1))</f>
        <v>20533.499999999996</v>
      </c>
      <c r="D11" s="44">
        <f>SUMIFS(Dataset!$I$2:$I$201,Dataset!$H$2:$H$201,"&gt;="&amp;$A11,Dataset!$H$2:$H$201,"&lt;"&amp;EDATE($A11,1))</f>
        <v>7457.5199999999995</v>
      </c>
      <c r="E11" s="64">
        <f t="shared" si="2"/>
        <v>10441.799999999997</v>
      </c>
      <c r="F11" s="65">
        <f t="shared" si="3"/>
        <v>1.0346918755016496</v>
      </c>
      <c r="G11" s="65">
        <f t="shared" si="4"/>
        <v>1.2579113732424214</v>
      </c>
      <c r="H11" s="44">
        <f t="shared" si="0"/>
        <v>1026.6749999999997</v>
      </c>
    </row>
    <row r="12" spans="1:8" x14ac:dyDescent="0.35">
      <c r="A12" s="62">
        <f t="shared" si="1"/>
        <v>45566</v>
      </c>
      <c r="B12" s="31">
        <f>COUNTIFS(Dataset!$H$2:$H$201,"&gt;="&amp;$A12,Dataset!$H$2:$H$201,"&lt;"&amp;EDATE($A12,1))</f>
        <v>14</v>
      </c>
      <c r="C12" s="44">
        <f>SUMIFS(Dataset!$E$2:$E$201,Dataset!$H$2:$H$201,"&gt;="&amp;$A12,Dataset!$H$2:$H$201,"&lt;"&amp;EDATE($A12,1))</f>
        <v>14215.240000000002</v>
      </c>
      <c r="D12" s="44">
        <f>SUMIFS(Dataset!$I$2:$I$201,Dataset!$H$2:$H$201,"&gt;="&amp;$A12,Dataset!$H$2:$H$201,"&lt;"&amp;EDATE($A12,1))</f>
        <v>4861.7</v>
      </c>
      <c r="E12" s="64">
        <f t="shared" si="2"/>
        <v>-6318.2599999999948</v>
      </c>
      <c r="F12" s="65">
        <f t="shared" si="3"/>
        <v>-0.30770496992719193</v>
      </c>
      <c r="G12" s="65">
        <f t="shared" si="4"/>
        <v>-0.34808086334330984</v>
      </c>
      <c r="H12" s="44">
        <f t="shared" si="0"/>
        <v>1015.3742857142859</v>
      </c>
    </row>
    <row r="13" spans="1:8" x14ac:dyDescent="0.35">
      <c r="A13" s="62">
        <f t="shared" si="1"/>
        <v>45597</v>
      </c>
      <c r="B13" s="31">
        <f>COUNTIFS(Dataset!$H$2:$H$201,"&gt;="&amp;$A13,Dataset!$H$2:$H$201,"&lt;"&amp;EDATE($A13,1))</f>
        <v>20</v>
      </c>
      <c r="C13" s="44">
        <f>SUMIFS(Dataset!$E$2:$E$201,Dataset!$H$2:$H$201,"&gt;="&amp;$A13,Dataset!$H$2:$H$201,"&lt;"&amp;EDATE($A13,1))</f>
        <v>20135.030000000002</v>
      </c>
      <c r="D13" s="44">
        <f>SUMIFS(Dataset!$I$2:$I$201,Dataset!$H$2:$H$201,"&gt;="&amp;$A13,Dataset!$H$2:$H$201,"&lt;"&amp;EDATE($A13,1))</f>
        <v>6814.8799999999992</v>
      </c>
      <c r="E13" s="64">
        <f t="shared" si="2"/>
        <v>5919.7900000000009</v>
      </c>
      <c r="F13" s="65">
        <f t="shared" si="3"/>
        <v>0.4164396802305132</v>
      </c>
      <c r="G13" s="65">
        <f t="shared" si="4"/>
        <v>0.40174835962729077</v>
      </c>
      <c r="H13" s="44">
        <f t="shared" si="0"/>
        <v>1006.7515000000001</v>
      </c>
    </row>
    <row r="14" spans="1:8" x14ac:dyDescent="0.35">
      <c r="A14" s="62">
        <f t="shared" si="1"/>
        <v>45627</v>
      </c>
      <c r="B14" s="31">
        <f>COUNTIFS(Dataset!$H$2:$H$201,"&gt;="&amp;$A14,Dataset!$H$2:$H$201,"&lt;"&amp;EDATE($A14,1))</f>
        <v>11</v>
      </c>
      <c r="C14" s="44">
        <f>SUMIFS(Dataset!$E$2:$E$201,Dataset!$H$2:$H$201,"&gt;="&amp;$A14,Dataset!$H$2:$H$201,"&lt;"&amp;EDATE($A14,1))</f>
        <v>11120.04</v>
      </c>
      <c r="D14" s="44">
        <f>SUMIFS(Dataset!$I$2:$I$201,Dataset!$H$2:$H$201,"&gt;="&amp;$A14,Dataset!$H$2:$H$201,"&lt;"&amp;EDATE($A14,1))</f>
        <v>3549.99</v>
      </c>
      <c r="E14" s="64">
        <f t="shared" si="2"/>
        <v>-9014.9900000000016</v>
      </c>
      <c r="F14" s="65">
        <f t="shared" si="3"/>
        <v>-0.44772667336477773</v>
      </c>
      <c r="G14" s="65">
        <f t="shared" si="4"/>
        <v>-0.47908253703660225</v>
      </c>
      <c r="H14" s="44">
        <f t="shared" si="0"/>
        <v>1010.9127272727274</v>
      </c>
    </row>
    <row r="15" spans="1:8" x14ac:dyDescent="0.35">
      <c r="A15" s="62">
        <f t="shared" si="1"/>
        <v>45658</v>
      </c>
      <c r="B15" s="31">
        <f>COUNTIFS(Dataset!$H$2:$H$201,"&gt;="&amp;$A15,Dataset!$H$2:$H$201,"&lt;"&amp;EDATE($A15,1))</f>
        <v>16</v>
      </c>
      <c r="C15" s="44">
        <f>SUMIFS(Dataset!$E$2:$E$201,Dataset!$H$2:$H$201,"&gt;="&amp;$A15,Dataset!$H$2:$H$201,"&lt;"&amp;EDATE($A15,1))</f>
        <v>14914.650000000001</v>
      </c>
      <c r="D15" s="44">
        <f>SUMIFS(Dataset!$I$2:$I$201,Dataset!$H$2:$H$201,"&gt;="&amp;$A15,Dataset!$H$2:$H$201,"&lt;"&amp;EDATE($A15,1))</f>
        <v>5763.4</v>
      </c>
      <c r="E15" s="64">
        <f t="shared" si="2"/>
        <v>3794.6100000000006</v>
      </c>
      <c r="F15" s="65">
        <f t="shared" si="3"/>
        <v>0.34124067899036337</v>
      </c>
      <c r="G15" s="65">
        <f t="shared" si="4"/>
        <v>0.62349753097896055</v>
      </c>
      <c r="H15" s="44">
        <f t="shared" si="0"/>
        <v>932.16562500000009</v>
      </c>
    </row>
    <row r="16" spans="1:8" x14ac:dyDescent="0.35">
      <c r="A16" s="62">
        <f t="shared" si="1"/>
        <v>45689</v>
      </c>
      <c r="B16" s="31">
        <f>COUNTIFS(Dataset!$H$2:$H$201,"&gt;="&amp;$A16,Dataset!$H$2:$H$201,"&lt;"&amp;EDATE($A16,1))</f>
        <v>14</v>
      </c>
      <c r="C16" s="44">
        <f>SUMIFS(Dataset!$E$2:$E$201,Dataset!$H$2:$H$201,"&gt;="&amp;$A16,Dataset!$H$2:$H$201,"&lt;"&amp;EDATE($A16,1))</f>
        <v>14006.359999999999</v>
      </c>
      <c r="D16" s="44">
        <f>SUMIFS(Dataset!$I$2:$I$201,Dataset!$H$2:$H$201,"&gt;="&amp;$A16,Dataset!$H$2:$H$201,"&lt;"&amp;EDATE($A16,1))</f>
        <v>5039.2299999999996</v>
      </c>
      <c r="E16" s="64">
        <f t="shared" si="2"/>
        <v>-908.29000000000269</v>
      </c>
      <c r="F16" s="65">
        <f t="shared" si="3"/>
        <v>-6.0899183018039482E-2</v>
      </c>
      <c r="G16" s="65">
        <f t="shared" si="4"/>
        <v>-0.12564979005448176</v>
      </c>
      <c r="H16" s="44">
        <f t="shared" si="0"/>
        <v>1000.4542857142857</v>
      </c>
    </row>
    <row r="17" spans="1:8" x14ac:dyDescent="0.35">
      <c r="A17" s="62">
        <f t="shared" si="1"/>
        <v>45717</v>
      </c>
      <c r="B17" s="31">
        <f>COUNTIFS(Dataset!$H$2:$H$201,"&gt;="&amp;$A17,Dataset!$H$2:$H$201,"&lt;"&amp;EDATE($A17,1))</f>
        <v>19</v>
      </c>
      <c r="C17" s="44">
        <f>SUMIFS(Dataset!$E$2:$E$201,Dataset!$H$2:$H$201,"&gt;="&amp;$A17,Dataset!$H$2:$H$201,"&lt;"&amp;EDATE($A17,1))</f>
        <v>17655.219999999998</v>
      </c>
      <c r="D17" s="44">
        <f>SUMIFS(Dataset!$I$2:$I$201,Dataset!$H$2:$H$201,"&gt;="&amp;$A17,Dataset!$H$2:$H$201,"&lt;"&amp;EDATE($A17,1))</f>
        <v>7071.39</v>
      </c>
      <c r="E17" s="64">
        <f t="shared" si="2"/>
        <v>3648.8599999999988</v>
      </c>
      <c r="F17" s="65">
        <f t="shared" si="3"/>
        <v>0.26051450912299834</v>
      </c>
      <c r="G17" s="65">
        <f t="shared" si="4"/>
        <v>0.40326795958906436</v>
      </c>
      <c r="H17" s="44">
        <f t="shared" si="0"/>
        <v>929.2221052631578</v>
      </c>
    </row>
    <row r="18" spans="1:8" x14ac:dyDescent="0.35">
      <c r="A18" s="62">
        <f t="shared" si="1"/>
        <v>45748</v>
      </c>
      <c r="B18" s="31">
        <f>COUNTIFS(Dataset!$H$2:$H$201,"&gt;="&amp;$A18,Dataset!$H$2:$H$201,"&lt;"&amp;EDATE($A18,1))</f>
        <v>4</v>
      </c>
      <c r="C18" s="44">
        <f>SUMIFS(Dataset!$E$2:$E$201,Dataset!$H$2:$H$201,"&gt;="&amp;$A18,Dataset!$H$2:$H$201,"&lt;"&amp;EDATE($A18,1))</f>
        <v>3212.17</v>
      </c>
      <c r="D18" s="44">
        <f>SUMIFS(Dataset!$I$2:$I$201,Dataset!$H$2:$H$201,"&gt;="&amp;$A18,Dataset!$H$2:$H$201,"&lt;"&amp;EDATE($A18,1))</f>
        <v>1398.85</v>
      </c>
      <c r="E18" s="64">
        <f t="shared" si="2"/>
        <v>-14443.049999999997</v>
      </c>
      <c r="F18" s="65">
        <f t="shared" si="3"/>
        <v>-0.81806117397574196</v>
      </c>
      <c r="G18" s="65">
        <f t="shared" si="4"/>
        <v>-0.80218174927418806</v>
      </c>
      <c r="H18" s="44">
        <f t="shared" si="0"/>
        <v>803.04250000000002</v>
      </c>
    </row>
    <row r="19" spans="1:8" x14ac:dyDescent="0.35">
      <c r="A19" s="66" t="s">
        <v>107</v>
      </c>
      <c r="B19" s="61">
        <f>SUM(B6:B18)</f>
        <v>200</v>
      </c>
      <c r="C19" s="67">
        <f>SUM(C6:C18)</f>
        <v>195217.76</v>
      </c>
      <c r="D19" s="67">
        <f>SUM(D6:D18)</f>
        <v>68287.009999999995</v>
      </c>
      <c r="E19" s="38"/>
      <c r="F19" s="38"/>
      <c r="G19" s="38"/>
      <c r="H19" s="67">
        <f t="shared" si="0"/>
        <v>976.08879999999999</v>
      </c>
    </row>
    <row r="21" spans="1:8" ht="25.5" customHeight="1" x14ac:dyDescent="0.35">
      <c r="A21" s="77" t="str">
        <f>"Note: data runs from "&amp;TEXT(MIN(Dataset!$H$2:$H$201),"dd-mmm-yyyy")&amp;" to "&amp;TEXT(MAX(Dataset!$H$2:$H$201),"dd-mmm-yyyy")&amp;", so the first and last months are partial and their growth rates should be read with care."</f>
        <v>Note: data runs from 10-Apr-2024 to 07-Apr-2025, so the first and last months are partial and their growth rates should be read with care.</v>
      </c>
      <c r="B21" s="77"/>
      <c r="C21" s="77"/>
      <c r="D21" s="77"/>
      <c r="E21" s="77"/>
      <c r="F21" s="77"/>
      <c r="G21" s="77"/>
      <c r="H21" s="77"/>
    </row>
  </sheetData>
  <mergeCells count="3">
    <mergeCell ref="A1:H1"/>
    <mergeCell ref="A2:H2"/>
    <mergeCell ref="A21:H2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</sheetPr>
  <dimension ref="A1:I34"/>
  <sheetViews>
    <sheetView showGridLines="0" zoomScaleNormal="100" workbookViewId="0">
      <selection sqref="A1:I1"/>
    </sheetView>
  </sheetViews>
  <sheetFormatPr defaultColWidth="8.6328125" defaultRowHeight="14.5" x14ac:dyDescent="0.35"/>
  <cols>
    <col min="1" max="1" width="16" customWidth="1"/>
    <col min="2" max="5" width="13" customWidth="1"/>
    <col min="6" max="6" width="15" customWidth="1"/>
    <col min="7" max="7" width="14" customWidth="1"/>
    <col min="8" max="8" width="11" customWidth="1"/>
    <col min="9" max="9" width="9" customWidth="1"/>
  </cols>
  <sheetData>
    <row r="1" spans="1:9" ht="31.5" customHeight="1" x14ac:dyDescent="0.35">
      <c r="A1" s="2" t="s">
        <v>185</v>
      </c>
      <c r="B1" s="2"/>
      <c r="C1" s="2"/>
      <c r="D1" s="2"/>
      <c r="E1" s="2"/>
      <c r="F1" s="2"/>
      <c r="G1" s="2"/>
      <c r="H1" s="2"/>
      <c r="I1" s="2"/>
    </row>
    <row r="2" spans="1:9" ht="19.5" customHeight="1" x14ac:dyDescent="0.35">
      <c r="A2" s="13" t="s">
        <v>186</v>
      </c>
      <c r="B2" s="13"/>
      <c r="C2" s="13"/>
      <c r="D2" s="13"/>
      <c r="E2" s="13"/>
      <c r="F2" s="13"/>
      <c r="G2" s="13"/>
      <c r="H2" s="13"/>
      <c r="I2" s="13"/>
    </row>
    <row r="4" spans="1:9" ht="15" customHeight="1" x14ac:dyDescent="0.35">
      <c r="A4" s="1" t="s">
        <v>187</v>
      </c>
      <c r="B4" s="1"/>
      <c r="C4" s="1"/>
      <c r="D4" s="1"/>
      <c r="E4" s="1"/>
      <c r="F4" s="1"/>
      <c r="G4" s="1"/>
      <c r="H4" s="1"/>
      <c r="I4" s="1"/>
    </row>
    <row r="5" spans="1:9" ht="30" customHeight="1" x14ac:dyDescent="0.35">
      <c r="A5" s="28" t="s">
        <v>11</v>
      </c>
      <c r="B5" s="28" t="s">
        <v>23</v>
      </c>
      <c r="C5" s="28" t="s">
        <v>26</v>
      </c>
      <c r="D5" s="28" t="s">
        <v>32</v>
      </c>
      <c r="E5" s="28" t="s">
        <v>38</v>
      </c>
      <c r="F5" s="28" t="s">
        <v>50</v>
      </c>
      <c r="G5" s="28" t="s">
        <v>188</v>
      </c>
      <c r="H5" s="28" t="s">
        <v>189</v>
      </c>
      <c r="I5" s="28" t="s">
        <v>105</v>
      </c>
    </row>
    <row r="6" spans="1:9" x14ac:dyDescent="0.35">
      <c r="A6" s="24" t="s">
        <v>45</v>
      </c>
      <c r="B6" s="44">
        <f>SUMIFS(Dataset!$E$2:$E$201,Dataset!$C$2:$C$201,$A6,Dataset!$D$2:$D$201,B$5)</f>
        <v>11297.150000000001</v>
      </c>
      <c r="C6" s="44">
        <f>SUMIFS(Dataset!$E$2:$E$201,Dataset!$C$2:$C$201,$A6,Dataset!$D$2:$D$201,C$5)</f>
        <v>12200.26</v>
      </c>
      <c r="D6" s="44">
        <f>SUMIFS(Dataset!$E$2:$E$201,Dataset!$C$2:$C$201,$A6,Dataset!$D$2:$D$201,D$5)</f>
        <v>6621.24</v>
      </c>
      <c r="E6" s="44">
        <f>SUMIFS(Dataset!$E$2:$E$201,Dataset!$C$2:$C$201,$A6,Dataset!$D$2:$D$201,E$5)</f>
        <v>4876.96</v>
      </c>
      <c r="F6" s="44">
        <f>SUMIFS(Dataset!$E$2:$E$201,Dataset!$C$2:$C$201,$A6,Dataset!$D$2:$D$201,F$5)</f>
        <v>8472.7199999999993</v>
      </c>
      <c r="G6" s="67">
        <f>SUM(B6:F6)</f>
        <v>43468.33</v>
      </c>
      <c r="H6" s="30">
        <f>G6/$G$11</f>
        <v>0.22266585786047335</v>
      </c>
      <c r="I6" s="31">
        <f>RANK(G6,$G$6:$G$10,0)</f>
        <v>2</v>
      </c>
    </row>
    <row r="7" spans="1:9" x14ac:dyDescent="0.35">
      <c r="A7" s="24" t="s">
        <v>29</v>
      </c>
      <c r="B7" s="44">
        <f>SUMIFS(Dataset!$E$2:$E$201,Dataset!$C$2:$C$201,$A7,Dataset!$D$2:$D$201,B$5)</f>
        <v>11389.090000000002</v>
      </c>
      <c r="C7" s="44">
        <f>SUMIFS(Dataset!$E$2:$E$201,Dataset!$C$2:$C$201,$A7,Dataset!$D$2:$D$201,C$5)</f>
        <v>2401.4499999999998</v>
      </c>
      <c r="D7" s="44">
        <f>SUMIFS(Dataset!$E$2:$E$201,Dataset!$C$2:$C$201,$A7,Dataset!$D$2:$D$201,D$5)</f>
        <v>2869.54</v>
      </c>
      <c r="E7" s="44">
        <f>SUMIFS(Dataset!$E$2:$E$201,Dataset!$C$2:$C$201,$A7,Dataset!$D$2:$D$201,E$5)</f>
        <v>7592.3399999999992</v>
      </c>
      <c r="F7" s="44">
        <f>SUMIFS(Dataset!$E$2:$E$201,Dataset!$C$2:$C$201,$A7,Dataset!$D$2:$D$201,F$5)</f>
        <v>8189.2200000000012</v>
      </c>
      <c r="G7" s="67">
        <f>SUM(B7:F7)</f>
        <v>32441.640000000003</v>
      </c>
      <c r="H7" s="30">
        <f>G7/$G$11</f>
        <v>0.16618180640941685</v>
      </c>
      <c r="I7" s="31">
        <f>RANK(G7,$G$6:$G$10,0)</f>
        <v>5</v>
      </c>
    </row>
    <row r="8" spans="1:9" x14ac:dyDescent="0.35">
      <c r="A8" s="24" t="s">
        <v>35</v>
      </c>
      <c r="B8" s="44">
        <f>SUMIFS(Dataset!$E$2:$E$201,Dataset!$C$2:$C$201,$A8,Dataset!$D$2:$D$201,B$5)</f>
        <v>8037.0100000000011</v>
      </c>
      <c r="C8" s="44">
        <f>SUMIFS(Dataset!$E$2:$E$201,Dataset!$C$2:$C$201,$A8,Dataset!$D$2:$D$201,C$5)</f>
        <v>8422.82</v>
      </c>
      <c r="D8" s="44">
        <f>SUMIFS(Dataset!$E$2:$E$201,Dataset!$C$2:$C$201,$A8,Dataset!$D$2:$D$201,D$5)</f>
        <v>8191.7099999999991</v>
      </c>
      <c r="E8" s="44">
        <f>SUMIFS(Dataset!$E$2:$E$201,Dataset!$C$2:$C$201,$A8,Dataset!$D$2:$D$201,E$5)</f>
        <v>6978.08</v>
      </c>
      <c r="F8" s="44">
        <f>SUMIFS(Dataset!$E$2:$E$201,Dataset!$C$2:$C$201,$A8,Dataset!$D$2:$D$201,F$5)</f>
        <v>3345.8</v>
      </c>
      <c r="G8" s="67">
        <f>SUM(B8:F8)</f>
        <v>34975.420000000006</v>
      </c>
      <c r="H8" s="30">
        <f>G8/$G$11</f>
        <v>0.17916105583836225</v>
      </c>
      <c r="I8" s="31">
        <f>RANK(G8,$G$6:$G$10,0)</f>
        <v>4</v>
      </c>
    </row>
    <row r="9" spans="1:9" x14ac:dyDescent="0.35">
      <c r="A9" s="24" t="s">
        <v>31</v>
      </c>
      <c r="B9" s="44">
        <f>SUMIFS(Dataset!$E$2:$E$201,Dataset!$C$2:$C$201,$A9,Dataset!$D$2:$D$201,B$5)</f>
        <v>9588.0400000000009</v>
      </c>
      <c r="C9" s="44">
        <f>SUMIFS(Dataset!$E$2:$E$201,Dataset!$C$2:$C$201,$A9,Dataset!$D$2:$D$201,C$5)</f>
        <v>8393.630000000001</v>
      </c>
      <c r="D9" s="44">
        <f>SUMIFS(Dataset!$E$2:$E$201,Dataset!$C$2:$C$201,$A9,Dataset!$D$2:$D$201,D$5)</f>
        <v>11989.070000000003</v>
      </c>
      <c r="E9" s="44">
        <f>SUMIFS(Dataset!$E$2:$E$201,Dataset!$C$2:$C$201,$A9,Dataset!$D$2:$D$201,E$5)</f>
        <v>7982.73</v>
      </c>
      <c r="F9" s="44">
        <f>SUMIFS(Dataset!$E$2:$E$201,Dataset!$C$2:$C$201,$A9,Dataset!$D$2:$D$201,F$5)</f>
        <v>2295.3199999999997</v>
      </c>
      <c r="G9" s="67">
        <f>SUM(B9:F9)</f>
        <v>40248.79</v>
      </c>
      <c r="H9" s="30">
        <f>G9/$G$11</f>
        <v>0.20617381328420117</v>
      </c>
      <c r="I9" s="31">
        <f>RANK(G9,$G$6:$G$10,0)</f>
        <v>3</v>
      </c>
    </row>
    <row r="10" spans="1:9" x14ac:dyDescent="0.35">
      <c r="A10" s="24" t="s">
        <v>22</v>
      </c>
      <c r="B10" s="44">
        <f>SUMIFS(Dataset!$E$2:$E$201,Dataset!$C$2:$C$201,$A10,Dataset!$D$2:$D$201,B$5)</f>
        <v>6691.17</v>
      </c>
      <c r="C10" s="44">
        <f>SUMIFS(Dataset!$E$2:$E$201,Dataset!$C$2:$C$201,$A10,Dataset!$D$2:$D$201,C$5)</f>
        <v>10509.429999999998</v>
      </c>
      <c r="D10" s="44">
        <f>SUMIFS(Dataset!$E$2:$E$201,Dataset!$C$2:$C$201,$A10,Dataset!$D$2:$D$201,D$5)</f>
        <v>11372.44</v>
      </c>
      <c r="E10" s="44">
        <f>SUMIFS(Dataset!$E$2:$E$201,Dataset!$C$2:$C$201,$A10,Dataset!$D$2:$D$201,E$5)</f>
        <v>9182.7800000000007</v>
      </c>
      <c r="F10" s="44">
        <f>SUMIFS(Dataset!$E$2:$E$201,Dataset!$C$2:$C$201,$A10,Dataset!$D$2:$D$201,F$5)</f>
        <v>6327.76</v>
      </c>
      <c r="G10" s="67">
        <f>SUM(B10:F10)</f>
        <v>44083.58</v>
      </c>
      <c r="H10" s="30">
        <f>G10/$G$11</f>
        <v>0.22581746660754637</v>
      </c>
      <c r="I10" s="31">
        <f>RANK(G10,$G$6:$G$10,0)</f>
        <v>1</v>
      </c>
    </row>
    <row r="11" spans="1:9" x14ac:dyDescent="0.35">
      <c r="A11" s="34" t="s">
        <v>188</v>
      </c>
      <c r="B11" s="67">
        <f t="shared" ref="B11:H11" si="0">SUM(B6:B10)</f>
        <v>47002.460000000006</v>
      </c>
      <c r="C11" s="67">
        <f t="shared" si="0"/>
        <v>41927.589999999997</v>
      </c>
      <c r="D11" s="67">
        <f t="shared" si="0"/>
        <v>41044</v>
      </c>
      <c r="E11" s="67">
        <f t="shared" si="0"/>
        <v>36612.89</v>
      </c>
      <c r="F11" s="67">
        <f t="shared" si="0"/>
        <v>28630.82</v>
      </c>
      <c r="G11" s="67">
        <f t="shared" si="0"/>
        <v>195217.76</v>
      </c>
      <c r="H11" s="37">
        <f t="shared" si="0"/>
        <v>1</v>
      </c>
      <c r="I11" s="38"/>
    </row>
    <row r="12" spans="1:9" x14ac:dyDescent="0.35">
      <c r="A12" s="24" t="s">
        <v>189</v>
      </c>
      <c r="B12" s="30">
        <f>B11/$G$11</f>
        <v>0.24076938491661826</v>
      </c>
      <c r="C12" s="30">
        <f>C11/$G$11</f>
        <v>0.21477344069514984</v>
      </c>
      <c r="D12" s="30">
        <f>D11/$G$11</f>
        <v>0.21024726438824007</v>
      </c>
      <c r="E12" s="30">
        <f>E11/$G$11</f>
        <v>0.18754897095428202</v>
      </c>
      <c r="F12" s="30">
        <f>F11/$G$11</f>
        <v>0.14666093904570976</v>
      </c>
      <c r="G12" s="68">
        <f>SUM(B12:F12)</f>
        <v>0.99999999999999989</v>
      </c>
    </row>
    <row r="14" spans="1:9" ht="15" customHeight="1" x14ac:dyDescent="0.35">
      <c r="A14" s="1" t="s">
        <v>190</v>
      </c>
      <c r="B14" s="1"/>
      <c r="C14" s="1"/>
      <c r="D14" s="1"/>
      <c r="E14" s="1"/>
      <c r="F14" s="1"/>
      <c r="G14" s="1"/>
      <c r="H14" s="1"/>
      <c r="I14" s="1"/>
    </row>
    <row r="15" spans="1:9" ht="30" customHeight="1" x14ac:dyDescent="0.35">
      <c r="A15" s="28" t="s">
        <v>11</v>
      </c>
      <c r="B15" s="28" t="s">
        <v>23</v>
      </c>
      <c r="C15" s="28" t="s">
        <v>26</v>
      </c>
      <c r="D15" s="28" t="s">
        <v>32</v>
      </c>
      <c r="E15" s="28" t="s">
        <v>38</v>
      </c>
      <c r="F15" s="28" t="s">
        <v>50</v>
      </c>
      <c r="G15" s="28" t="s">
        <v>188</v>
      </c>
    </row>
    <row r="16" spans="1:9" x14ac:dyDescent="0.35">
      <c r="A16" s="24" t="s">
        <v>45</v>
      </c>
      <c r="B16" s="44">
        <f>SUMIFS(Dataset!$I$2:$I$201,Dataset!$C$2:$C$201,$A16,Dataset!$D$2:$D$201,B$15)</f>
        <v>4201.2700000000004</v>
      </c>
      <c r="C16" s="44">
        <f>SUMIFS(Dataset!$I$2:$I$201,Dataset!$C$2:$C$201,$A16,Dataset!$D$2:$D$201,C$15)</f>
        <v>5395.6</v>
      </c>
      <c r="D16" s="44">
        <f>SUMIFS(Dataset!$I$2:$I$201,Dataset!$C$2:$C$201,$A16,Dataset!$D$2:$D$201,D$15)</f>
        <v>1515.0399999999997</v>
      </c>
      <c r="E16" s="44">
        <f>SUMIFS(Dataset!$I$2:$I$201,Dataset!$C$2:$C$201,$A16,Dataset!$D$2:$D$201,E$15)</f>
        <v>1566.46</v>
      </c>
      <c r="F16" s="44">
        <f>SUMIFS(Dataset!$I$2:$I$201,Dataset!$C$2:$C$201,$A16,Dataset!$D$2:$D$201,F$15)</f>
        <v>3390.03</v>
      </c>
      <c r="G16" s="67">
        <f>SUM(B16:F16)</f>
        <v>16068.4</v>
      </c>
    </row>
    <row r="17" spans="1:9" x14ac:dyDescent="0.35">
      <c r="A17" s="24" t="s">
        <v>29</v>
      </c>
      <c r="B17" s="44">
        <f>SUMIFS(Dataset!$I$2:$I$201,Dataset!$C$2:$C$201,$A17,Dataset!$D$2:$D$201,B$15)</f>
        <v>4212.63</v>
      </c>
      <c r="C17" s="44">
        <f>SUMIFS(Dataset!$I$2:$I$201,Dataset!$C$2:$C$201,$A17,Dataset!$D$2:$D$201,C$15)</f>
        <v>1025.1500000000001</v>
      </c>
      <c r="D17" s="44">
        <f>SUMIFS(Dataset!$I$2:$I$201,Dataset!$C$2:$C$201,$A17,Dataset!$D$2:$D$201,D$15)</f>
        <v>662.68</v>
      </c>
      <c r="E17" s="44">
        <f>SUMIFS(Dataset!$I$2:$I$201,Dataset!$C$2:$C$201,$A17,Dataset!$D$2:$D$201,E$15)</f>
        <v>2428.08</v>
      </c>
      <c r="F17" s="44">
        <f>SUMIFS(Dataset!$I$2:$I$201,Dataset!$C$2:$C$201,$A17,Dataset!$D$2:$D$201,F$15)</f>
        <v>3310.05</v>
      </c>
      <c r="G17" s="67">
        <f>SUM(B17:F17)</f>
        <v>11638.59</v>
      </c>
    </row>
    <row r="18" spans="1:9" x14ac:dyDescent="0.35">
      <c r="A18" s="24" t="s">
        <v>35</v>
      </c>
      <c r="B18" s="44">
        <f>SUMIFS(Dataset!$I$2:$I$201,Dataset!$C$2:$C$201,$A18,Dataset!$D$2:$D$201,B$15)</f>
        <v>2778.4399999999996</v>
      </c>
      <c r="C18" s="44">
        <f>SUMIFS(Dataset!$I$2:$I$201,Dataset!$C$2:$C$201,$A18,Dataset!$D$2:$D$201,C$15)</f>
        <v>3691.09</v>
      </c>
      <c r="D18" s="44">
        <f>SUMIFS(Dataset!$I$2:$I$201,Dataset!$C$2:$C$201,$A18,Dataset!$D$2:$D$201,D$15)</f>
        <v>1783.05</v>
      </c>
      <c r="E18" s="44">
        <f>SUMIFS(Dataset!$I$2:$I$201,Dataset!$C$2:$C$201,$A18,Dataset!$D$2:$D$201,E$15)</f>
        <v>2217.7199999999998</v>
      </c>
      <c r="F18" s="44">
        <f>SUMIFS(Dataset!$I$2:$I$201,Dataset!$C$2:$C$201,$A18,Dataset!$D$2:$D$201,F$15)</f>
        <v>1431.98</v>
      </c>
      <c r="G18" s="67">
        <f>SUM(B18:F18)</f>
        <v>11902.279999999999</v>
      </c>
    </row>
    <row r="19" spans="1:9" x14ac:dyDescent="0.35">
      <c r="A19" s="24" t="s">
        <v>31</v>
      </c>
      <c r="B19" s="44">
        <f>SUMIFS(Dataset!$I$2:$I$201,Dataset!$C$2:$C$201,$A19,Dataset!$D$2:$D$201,B$15)</f>
        <v>3416.81</v>
      </c>
      <c r="C19" s="44">
        <f>SUMIFS(Dataset!$I$2:$I$201,Dataset!$C$2:$C$201,$A19,Dataset!$D$2:$D$201,C$15)</f>
        <v>3944.2100000000005</v>
      </c>
      <c r="D19" s="44">
        <f>SUMIFS(Dataset!$I$2:$I$201,Dataset!$C$2:$C$201,$A19,Dataset!$D$2:$D$201,D$15)</f>
        <v>2783.4400000000005</v>
      </c>
      <c r="E19" s="44">
        <f>SUMIFS(Dataset!$I$2:$I$201,Dataset!$C$2:$C$201,$A19,Dataset!$D$2:$D$201,E$15)</f>
        <v>2540.36</v>
      </c>
      <c r="F19" s="44">
        <f>SUMIFS(Dataset!$I$2:$I$201,Dataset!$C$2:$C$201,$A19,Dataset!$D$2:$D$201,F$15)</f>
        <v>1007.09</v>
      </c>
      <c r="G19" s="67">
        <f>SUM(B19:F19)</f>
        <v>13691.910000000002</v>
      </c>
    </row>
    <row r="20" spans="1:9" x14ac:dyDescent="0.35">
      <c r="A20" s="24" t="s">
        <v>22</v>
      </c>
      <c r="B20" s="44">
        <f>SUMIFS(Dataset!$I$2:$I$201,Dataset!$C$2:$C$201,$A20,Dataset!$D$2:$D$201,B$15)</f>
        <v>2292.48</v>
      </c>
      <c r="C20" s="44">
        <f>SUMIFS(Dataset!$I$2:$I$201,Dataset!$C$2:$C$201,$A20,Dataset!$D$2:$D$201,C$15)</f>
        <v>4728.4400000000005</v>
      </c>
      <c r="D20" s="44">
        <f>SUMIFS(Dataset!$I$2:$I$201,Dataset!$C$2:$C$201,$A20,Dataset!$D$2:$D$201,D$15)</f>
        <v>2437.94</v>
      </c>
      <c r="E20" s="44">
        <f>SUMIFS(Dataset!$I$2:$I$201,Dataset!$C$2:$C$201,$A20,Dataset!$D$2:$D$201,E$15)</f>
        <v>2826.5199999999995</v>
      </c>
      <c r="F20" s="44">
        <f>SUMIFS(Dataset!$I$2:$I$201,Dataset!$C$2:$C$201,$A20,Dataset!$D$2:$D$201,F$15)</f>
        <v>2700.45</v>
      </c>
      <c r="G20" s="67">
        <f>SUM(B20:F20)</f>
        <v>14985.830000000002</v>
      </c>
    </row>
    <row r="21" spans="1:9" x14ac:dyDescent="0.35">
      <c r="A21" s="34" t="s">
        <v>188</v>
      </c>
      <c r="B21" s="67">
        <f t="shared" ref="B21:G21" si="1">SUM(B16:B20)</f>
        <v>16901.63</v>
      </c>
      <c r="C21" s="67">
        <f t="shared" si="1"/>
        <v>18784.490000000002</v>
      </c>
      <c r="D21" s="67">
        <f t="shared" si="1"/>
        <v>9182.15</v>
      </c>
      <c r="E21" s="67">
        <f t="shared" si="1"/>
        <v>11579.14</v>
      </c>
      <c r="F21" s="67">
        <f t="shared" si="1"/>
        <v>11839.599999999999</v>
      </c>
      <c r="G21" s="67">
        <f t="shared" si="1"/>
        <v>68287.010000000009</v>
      </c>
    </row>
    <row r="24" spans="1:9" ht="15" customHeight="1" x14ac:dyDescent="0.35">
      <c r="A24" s="1" t="s">
        <v>191</v>
      </c>
      <c r="B24" s="1"/>
      <c r="C24" s="1"/>
      <c r="D24" s="1"/>
      <c r="E24" s="1"/>
      <c r="F24" s="1"/>
      <c r="G24" s="1"/>
      <c r="H24" s="1"/>
      <c r="I24" s="1"/>
    </row>
    <row r="25" spans="1:9" ht="30" customHeight="1" x14ac:dyDescent="0.35">
      <c r="A25" s="28" t="s">
        <v>11</v>
      </c>
      <c r="B25" s="28" t="s">
        <v>23</v>
      </c>
      <c r="C25" s="28" t="s">
        <v>26</v>
      </c>
      <c r="D25" s="28" t="s">
        <v>32</v>
      </c>
      <c r="E25" s="28" t="s">
        <v>38</v>
      </c>
      <c r="F25" s="28" t="s">
        <v>50</v>
      </c>
      <c r="G25" s="28" t="s">
        <v>192</v>
      </c>
    </row>
    <row r="26" spans="1:9" x14ac:dyDescent="0.35">
      <c r="A26" s="24" t="s">
        <v>45</v>
      </c>
      <c r="B26" s="30">
        <f t="shared" ref="B26:G31" si="2">IF(B6=0,0,B16/B6)</f>
        <v>0.37188759996990389</v>
      </c>
      <c r="C26" s="30">
        <f t="shared" si="2"/>
        <v>0.44225287002080288</v>
      </c>
      <c r="D26" s="30">
        <f t="shared" si="2"/>
        <v>0.22881514640762149</v>
      </c>
      <c r="E26" s="30">
        <f t="shared" si="2"/>
        <v>0.32119599094517898</v>
      </c>
      <c r="F26" s="30">
        <f t="shared" si="2"/>
        <v>0.40011118035294457</v>
      </c>
      <c r="G26" s="37">
        <f t="shared" si="2"/>
        <v>0.36965763350006775</v>
      </c>
    </row>
    <row r="27" spans="1:9" x14ac:dyDescent="0.35">
      <c r="A27" s="24" t="s">
        <v>29</v>
      </c>
      <c r="B27" s="30">
        <f t="shared" si="2"/>
        <v>0.36988293182335019</v>
      </c>
      <c r="C27" s="30">
        <f t="shared" si="2"/>
        <v>0.4268879218805306</v>
      </c>
      <c r="D27" s="30">
        <f t="shared" si="2"/>
        <v>0.23093596883124123</v>
      </c>
      <c r="E27" s="30">
        <f t="shared" si="2"/>
        <v>0.3198065418566608</v>
      </c>
      <c r="F27" s="30">
        <f t="shared" si="2"/>
        <v>0.40419600401503436</v>
      </c>
      <c r="G27" s="37">
        <f t="shared" si="2"/>
        <v>0.35875467454789584</v>
      </c>
    </row>
    <row r="28" spans="1:9" x14ac:dyDescent="0.35">
      <c r="A28" s="24" t="s">
        <v>35</v>
      </c>
      <c r="B28" s="30">
        <f t="shared" si="2"/>
        <v>0.34570567910205402</v>
      </c>
      <c r="C28" s="30">
        <f t="shared" si="2"/>
        <v>0.43822496503546321</v>
      </c>
      <c r="D28" s="30">
        <f t="shared" si="2"/>
        <v>0.21766517613538566</v>
      </c>
      <c r="E28" s="30">
        <f t="shared" si="2"/>
        <v>0.31781234952881021</v>
      </c>
      <c r="F28" s="30">
        <f t="shared" si="2"/>
        <v>0.42799330503915356</v>
      </c>
      <c r="G28" s="37">
        <f t="shared" si="2"/>
        <v>0.34030413358867445</v>
      </c>
    </row>
    <row r="29" spans="1:9" x14ac:dyDescent="0.35">
      <c r="A29" s="24" t="s">
        <v>31</v>
      </c>
      <c r="B29" s="30">
        <f t="shared" si="2"/>
        <v>0.3563616755875027</v>
      </c>
      <c r="C29" s="30">
        <f t="shared" si="2"/>
        <v>0.46990515426579443</v>
      </c>
      <c r="D29" s="30">
        <f t="shared" si="2"/>
        <v>0.23216479676905713</v>
      </c>
      <c r="E29" s="30">
        <f t="shared" si="2"/>
        <v>0.31823198329393582</v>
      </c>
      <c r="F29" s="30">
        <f t="shared" si="2"/>
        <v>0.43875799452799619</v>
      </c>
      <c r="G29" s="37">
        <f t="shared" si="2"/>
        <v>0.34018190360505252</v>
      </c>
    </row>
    <row r="30" spans="1:9" x14ac:dyDescent="0.35">
      <c r="A30" s="24" t="s">
        <v>22</v>
      </c>
      <c r="B30" s="30">
        <f t="shared" si="2"/>
        <v>0.34261272692219746</v>
      </c>
      <c r="C30" s="30">
        <f t="shared" si="2"/>
        <v>0.44992354485447844</v>
      </c>
      <c r="D30" s="30">
        <f t="shared" si="2"/>
        <v>0.21437264122738831</v>
      </c>
      <c r="E30" s="30">
        <f t="shared" si="2"/>
        <v>0.30780656838125264</v>
      </c>
      <c r="F30" s="30">
        <f t="shared" si="2"/>
        <v>0.42676239301111291</v>
      </c>
      <c r="G30" s="37">
        <f t="shared" si="2"/>
        <v>0.33994131148150858</v>
      </c>
    </row>
    <row r="31" spans="1:9" x14ac:dyDescent="0.35">
      <c r="A31" s="34" t="s">
        <v>192</v>
      </c>
      <c r="B31" s="37">
        <f t="shared" si="2"/>
        <v>0.35959032782539463</v>
      </c>
      <c r="C31" s="37">
        <f t="shared" si="2"/>
        <v>0.44802217346620693</v>
      </c>
      <c r="D31" s="37">
        <f t="shared" si="2"/>
        <v>0.2237147938797388</v>
      </c>
      <c r="E31" s="37">
        <f t="shared" si="2"/>
        <v>0.31625856358238857</v>
      </c>
      <c r="F31" s="37">
        <f t="shared" si="2"/>
        <v>0.41352640266677654</v>
      </c>
      <c r="G31" s="37">
        <f t="shared" si="2"/>
        <v>0.34979916786259613</v>
      </c>
    </row>
    <row r="34" spans="1:1" x14ac:dyDescent="0.35">
      <c r="A34" s="17" t="s">
        <v>193</v>
      </c>
    </row>
  </sheetData>
  <mergeCells count="5">
    <mergeCell ref="A1:I1"/>
    <mergeCell ref="A2:I2"/>
    <mergeCell ref="A4:I4"/>
    <mergeCell ref="A14:I14"/>
    <mergeCell ref="A24:I24"/>
  </mergeCells>
  <conditionalFormatting sqref="B6:F10">
    <cfRule type="colorScale" priority="2">
      <colorScale>
        <cfvo type="min"/>
        <cfvo type="max"/>
        <color rgb="FFFFFFFF"/>
        <color rgb="FF5B9BD5"/>
      </colorScale>
    </cfRule>
  </conditionalFormatting>
  <conditionalFormatting sqref="B16:F20">
    <cfRule type="colorScale" priority="3">
      <colorScale>
        <cfvo type="min"/>
        <cfvo type="max"/>
        <color rgb="FFFFFFFF"/>
        <color rgb="FF70AD47"/>
      </colorScale>
    </cfRule>
  </conditionalFormatting>
  <conditionalFormatting sqref="B26:F30">
    <cfRule type="colorScale" priority="4">
      <colorScale>
        <cfvo type="min"/>
        <cfvo type="percentile" val="50"/>
        <cfvo type="max"/>
        <color rgb="FFF8CBAD"/>
        <color rgb="FFFFFFFF"/>
        <color rgb="FFA9D08E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F7F7F"/>
  </sheetPr>
  <dimension ref="A1:F38"/>
  <sheetViews>
    <sheetView showGridLines="0" zoomScaleNormal="100" workbookViewId="0">
      <selection sqref="A1:F1"/>
    </sheetView>
  </sheetViews>
  <sheetFormatPr defaultColWidth="8.6328125" defaultRowHeight="14.5" x14ac:dyDescent="0.35"/>
  <cols>
    <col min="1" max="1" width="6" customWidth="1"/>
    <col min="2" max="2" width="52" customWidth="1"/>
    <col min="3" max="3" width="26" customWidth="1"/>
    <col min="4" max="4" width="22" customWidth="1"/>
    <col min="5" max="6" width="18" customWidth="1"/>
  </cols>
  <sheetData>
    <row r="1" spans="1:6" ht="31.5" customHeight="1" x14ac:dyDescent="0.35">
      <c r="A1" s="2" t="s">
        <v>194</v>
      </c>
      <c r="B1" s="2"/>
      <c r="C1" s="2"/>
      <c r="D1" s="2"/>
      <c r="E1" s="2"/>
      <c r="F1" s="2"/>
    </row>
    <row r="2" spans="1:6" ht="19.5" customHeight="1" x14ac:dyDescent="0.35">
      <c r="A2" s="13" t="s">
        <v>195</v>
      </c>
      <c r="B2" s="13"/>
      <c r="C2" s="13"/>
      <c r="D2" s="13"/>
      <c r="E2" s="13"/>
      <c r="F2" s="13"/>
    </row>
    <row r="4" spans="1:6" ht="15" customHeight="1" x14ac:dyDescent="0.35">
      <c r="A4" s="1" t="s">
        <v>196</v>
      </c>
      <c r="B4" s="1"/>
      <c r="C4" s="1"/>
      <c r="D4" s="1"/>
      <c r="E4" s="1"/>
      <c r="F4" s="1"/>
    </row>
    <row r="5" spans="1:6" ht="30" customHeight="1" x14ac:dyDescent="0.35">
      <c r="A5" s="28" t="s">
        <v>197</v>
      </c>
      <c r="B5" s="28" t="s">
        <v>198</v>
      </c>
      <c r="C5" s="28" t="s">
        <v>199</v>
      </c>
    </row>
    <row r="6" spans="1:6" x14ac:dyDescent="0.35">
      <c r="A6" s="31">
        <v>1</v>
      </c>
      <c r="B6" s="69" t="s">
        <v>200</v>
      </c>
      <c r="C6" s="70" t="str">
        <f>IF(ABS(SUM(Dataset!$E$2:$E$201)-Pivot_Summary!G11)&lt;0.005,"OK","CHECK")</f>
        <v>OK</v>
      </c>
    </row>
    <row r="7" spans="1:6" x14ac:dyDescent="0.35">
      <c r="A7" s="31">
        <v>2</v>
      </c>
      <c r="B7" s="69" t="s">
        <v>201</v>
      </c>
      <c r="C7" s="70" t="str">
        <f>IF(ABS(SUM(Dataset!$I$2:$I$201)-Pivot_Summary!G21)&lt;0.005,"OK","CHECK")</f>
        <v>OK</v>
      </c>
    </row>
    <row r="8" spans="1:6" x14ac:dyDescent="0.35">
      <c r="A8" s="31">
        <v>3</v>
      </c>
      <c r="B8" s="69" t="s">
        <v>202</v>
      </c>
      <c r="C8" s="70" t="str">
        <f>IF(ABS(SUM(Dataset!$E$2:$E$201)-Monthly_Growth!C19)&lt;0.005,"OK","CHECK")</f>
        <v>OK</v>
      </c>
    </row>
    <row r="9" spans="1:6" x14ac:dyDescent="0.35">
      <c r="A9" s="31">
        <v>4</v>
      </c>
      <c r="B9" s="69" t="s">
        <v>203</v>
      </c>
      <c r="C9" s="70" t="str">
        <f>IF(ABS(SUM(Dataset!$E$2:$E$201)-Customer_Analysis!C40)&lt;0.005,"OK","CHECK")</f>
        <v>OK</v>
      </c>
    </row>
    <row r="10" spans="1:6" x14ac:dyDescent="0.35">
      <c r="A10" s="31">
        <v>5</v>
      </c>
      <c r="B10" s="69" t="s">
        <v>204</v>
      </c>
      <c r="C10" s="70" t="str">
        <f>IF(Descriptive_Stats!C31=COUNT(Dataset!$E$2:$E$201),"OK","CHECK")</f>
        <v>OK</v>
      </c>
    </row>
    <row r="11" spans="1:6" x14ac:dyDescent="0.35">
      <c r="A11" s="31">
        <v>6</v>
      </c>
      <c r="B11" s="69" t="s">
        <v>205</v>
      </c>
      <c r="C11" s="70" t="str">
        <f>IF(ABS(What_If!D24-What_If!B14)&lt;0.005,"OK","CHECK")</f>
        <v>OK</v>
      </c>
    </row>
    <row r="12" spans="1:6" x14ac:dyDescent="0.35">
      <c r="A12" s="31">
        <v>7</v>
      </c>
      <c r="B12" s="69" t="s">
        <v>206</v>
      </c>
      <c r="C12" s="70" t="str">
        <f>IF(Regression!B9=COUNT(Dataset!$E$2:$E$201),"OK","CHECK")</f>
        <v>OK</v>
      </c>
    </row>
    <row r="13" spans="1:6" x14ac:dyDescent="0.35">
      <c r="A13" s="31">
        <v>8</v>
      </c>
      <c r="B13" s="69" t="s">
        <v>207</v>
      </c>
      <c r="C13" s="70" t="str">
        <f>IF(COUNTBLANK(Dataset!A2:I201)=0,"OK","CHECK")</f>
        <v>OK</v>
      </c>
    </row>
    <row r="14" spans="1:6" x14ac:dyDescent="0.35">
      <c r="A14" s="31">
        <v>9</v>
      </c>
      <c r="B14" s="69" t="s">
        <v>208</v>
      </c>
      <c r="C14" s="70" t="str">
        <f>IF(SUMPRODUCT(--ISERROR(Dataset!A2:I201))=0,"OK","CHECK")</f>
        <v>OK</v>
      </c>
    </row>
    <row r="15" spans="1:6" x14ac:dyDescent="0.35">
      <c r="A15" s="38"/>
      <c r="B15" s="34" t="s">
        <v>209</v>
      </c>
      <c r="C15" s="66" t="str">
        <f>IF(COUNTIF(C6:C14,"OK")=ROWS(C6:C14),"ALL CHECKS PASSED","REVIEW CHECKS")</f>
        <v>ALL CHECKS PASSED</v>
      </c>
    </row>
    <row r="18" spans="1:6" ht="15" customHeight="1" x14ac:dyDescent="0.35">
      <c r="A18" s="1" t="s">
        <v>210</v>
      </c>
      <c r="B18" s="1"/>
      <c r="C18" s="1"/>
      <c r="D18" s="1"/>
      <c r="E18" s="1"/>
      <c r="F18" s="1"/>
    </row>
    <row r="19" spans="1:6" ht="30" customHeight="1" x14ac:dyDescent="0.35">
      <c r="A19" s="28" t="s">
        <v>197</v>
      </c>
      <c r="B19" s="28" t="s">
        <v>211</v>
      </c>
      <c r="C19" s="28" t="s">
        <v>212</v>
      </c>
      <c r="D19" s="28" t="s">
        <v>213</v>
      </c>
    </row>
    <row r="20" spans="1:6" ht="27.75" customHeight="1" x14ac:dyDescent="0.35">
      <c r="A20" s="31">
        <v>1</v>
      </c>
      <c r="B20" s="69" t="s">
        <v>214</v>
      </c>
      <c r="C20" s="69" t="s">
        <v>215</v>
      </c>
      <c r="D20" s="78" t="s">
        <v>216</v>
      </c>
      <c r="E20" s="78"/>
      <c r="F20" s="78"/>
    </row>
    <row r="21" spans="1:6" ht="27.75" customHeight="1" x14ac:dyDescent="0.35">
      <c r="A21" s="31">
        <v>2</v>
      </c>
      <c r="B21" s="69" t="s">
        <v>217</v>
      </c>
      <c r="C21" s="69" t="s">
        <v>218</v>
      </c>
      <c r="D21" s="78" t="s">
        <v>219</v>
      </c>
      <c r="E21" s="78"/>
      <c r="F21" s="78"/>
    </row>
    <row r="22" spans="1:6" ht="27.75" customHeight="1" x14ac:dyDescent="0.35">
      <c r="A22" s="31">
        <v>3</v>
      </c>
      <c r="B22" s="69" t="s">
        <v>220</v>
      </c>
      <c r="C22" s="69" t="s">
        <v>143</v>
      </c>
      <c r="D22" s="78" t="s">
        <v>221</v>
      </c>
      <c r="E22" s="78"/>
      <c r="F22" s="78"/>
    </row>
    <row r="23" spans="1:6" ht="27.75" customHeight="1" x14ac:dyDescent="0.35">
      <c r="A23" s="31">
        <v>4</v>
      </c>
      <c r="B23" s="69" t="s">
        <v>222</v>
      </c>
      <c r="C23" s="69" t="s">
        <v>223</v>
      </c>
      <c r="D23" s="78" t="s">
        <v>224</v>
      </c>
      <c r="E23" s="78"/>
      <c r="F23" s="78"/>
    </row>
    <row r="24" spans="1:6" ht="27.75" customHeight="1" x14ac:dyDescent="0.35">
      <c r="A24" s="31">
        <v>5</v>
      </c>
      <c r="B24" s="69" t="s">
        <v>225</v>
      </c>
      <c r="C24" s="69" t="s">
        <v>226</v>
      </c>
      <c r="D24" s="78" t="s">
        <v>227</v>
      </c>
      <c r="E24" s="78"/>
      <c r="F24" s="78"/>
    </row>
    <row r="25" spans="1:6" ht="27.75" customHeight="1" x14ac:dyDescent="0.35">
      <c r="A25" s="31">
        <v>6</v>
      </c>
      <c r="B25" s="69" t="s">
        <v>228</v>
      </c>
      <c r="C25" s="69" t="s">
        <v>229</v>
      </c>
      <c r="D25" s="79">
        <f ca="1">NOW()</f>
        <v>46309.485141898149</v>
      </c>
      <c r="E25" s="79"/>
      <c r="F25" s="79"/>
    </row>
    <row r="26" spans="1:6" ht="27.75" customHeight="1" x14ac:dyDescent="0.35">
      <c r="A26" s="31">
        <v>7</v>
      </c>
      <c r="B26" s="69" t="s">
        <v>230</v>
      </c>
      <c r="C26" s="69" t="s">
        <v>215</v>
      </c>
      <c r="D26" s="78" t="s">
        <v>231</v>
      </c>
      <c r="E26" s="78"/>
      <c r="F26" s="78"/>
    </row>
    <row r="27" spans="1:6" ht="27.75" customHeight="1" x14ac:dyDescent="0.35">
      <c r="A27" s="31">
        <v>8</v>
      </c>
      <c r="B27" s="69" t="s">
        <v>232</v>
      </c>
      <c r="C27" s="69" t="s">
        <v>233</v>
      </c>
      <c r="D27" s="78" t="s">
        <v>234</v>
      </c>
      <c r="E27" s="78"/>
      <c r="F27" s="78"/>
    </row>
    <row r="28" spans="1:6" ht="27.75" customHeight="1" x14ac:dyDescent="0.35">
      <c r="A28" s="31">
        <v>9</v>
      </c>
      <c r="B28" s="69" t="s">
        <v>235</v>
      </c>
      <c r="C28" s="69" t="s">
        <v>236</v>
      </c>
      <c r="D28" s="78" t="s">
        <v>237</v>
      </c>
      <c r="E28" s="78"/>
      <c r="F28" s="78"/>
    </row>
    <row r="29" spans="1:6" ht="27.75" customHeight="1" x14ac:dyDescent="0.35">
      <c r="A29" s="31">
        <v>10</v>
      </c>
      <c r="B29" s="69" t="s">
        <v>238</v>
      </c>
      <c r="C29" s="69" t="s">
        <v>236</v>
      </c>
      <c r="D29" s="78" t="s">
        <v>239</v>
      </c>
      <c r="E29" s="78"/>
      <c r="F29" s="78"/>
    </row>
    <row r="32" spans="1:6" ht="15" customHeight="1" x14ac:dyDescent="0.35">
      <c r="A32" s="1" t="s">
        <v>240</v>
      </c>
      <c r="B32" s="1"/>
      <c r="C32" s="1"/>
      <c r="D32" s="1"/>
      <c r="E32" s="1"/>
      <c r="F32" s="1"/>
    </row>
    <row r="33" spans="1:6" ht="31.5" customHeight="1" x14ac:dyDescent="0.35">
      <c r="A33" s="80" t="s">
        <v>241</v>
      </c>
      <c r="B33" s="80"/>
      <c r="C33" s="80"/>
      <c r="D33" s="80"/>
      <c r="E33" s="80"/>
      <c r="F33" s="80"/>
    </row>
    <row r="34" spans="1:6" ht="31.5" customHeight="1" x14ac:dyDescent="0.35">
      <c r="A34" s="80" t="s">
        <v>242</v>
      </c>
      <c r="B34" s="80"/>
      <c r="C34" s="80"/>
      <c r="D34" s="80"/>
      <c r="E34" s="80"/>
      <c r="F34" s="80"/>
    </row>
    <row r="35" spans="1:6" ht="31.5" customHeight="1" x14ac:dyDescent="0.35">
      <c r="A35" s="80" t="s">
        <v>243</v>
      </c>
      <c r="B35" s="80"/>
      <c r="C35" s="80"/>
      <c r="D35" s="80"/>
      <c r="E35" s="80"/>
      <c r="F35" s="80"/>
    </row>
    <row r="36" spans="1:6" ht="31.5" customHeight="1" x14ac:dyDescent="0.35">
      <c r="A36" s="80" t="s">
        <v>244</v>
      </c>
      <c r="B36" s="80"/>
      <c r="C36" s="80"/>
      <c r="D36" s="80"/>
      <c r="E36" s="80"/>
      <c r="F36" s="80"/>
    </row>
    <row r="37" spans="1:6" ht="31.5" customHeight="1" x14ac:dyDescent="0.35">
      <c r="A37" s="80" t="s">
        <v>245</v>
      </c>
      <c r="B37" s="80"/>
      <c r="C37" s="80"/>
      <c r="D37" s="80"/>
      <c r="E37" s="80"/>
      <c r="F37" s="80"/>
    </row>
    <row r="38" spans="1:6" ht="31.5" customHeight="1" x14ac:dyDescent="0.35">
      <c r="A38" s="80" t="s">
        <v>246</v>
      </c>
      <c r="B38" s="80"/>
      <c r="C38" s="80"/>
      <c r="D38" s="80"/>
      <c r="E38" s="80"/>
      <c r="F38" s="80"/>
    </row>
  </sheetData>
  <mergeCells count="21">
    <mergeCell ref="A38:F38"/>
    <mergeCell ref="A33:F33"/>
    <mergeCell ref="A34:F34"/>
    <mergeCell ref="A35:F35"/>
    <mergeCell ref="A36:F36"/>
    <mergeCell ref="A37:F37"/>
    <mergeCell ref="D26:F26"/>
    <mergeCell ref="D27:F27"/>
    <mergeCell ref="D28:F28"/>
    <mergeCell ref="D29:F29"/>
    <mergeCell ref="A32:F32"/>
    <mergeCell ref="D21:F21"/>
    <mergeCell ref="D22:F22"/>
    <mergeCell ref="D23:F23"/>
    <mergeCell ref="D24:F24"/>
    <mergeCell ref="D25:F25"/>
    <mergeCell ref="A1:F1"/>
    <mergeCell ref="A2:F2"/>
    <mergeCell ref="A4:F4"/>
    <mergeCell ref="A18:F18"/>
    <mergeCell ref="D20:F20"/>
  </mergeCells>
  <conditionalFormatting sqref="C6:C15">
    <cfRule type="expression" dxfId="1" priority="2">
      <formula>OR(C6="OK",C6="ALL CHECKS PASSED")</formula>
    </cfRule>
    <cfRule type="expression" dxfId="0" priority="3">
      <formula>OR(C6="CHECK",C6="REVIEW CHECKS")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Dataset</vt:lpstr>
      <vt:lpstr>Customer_Analysis</vt:lpstr>
      <vt:lpstr>What_If</vt:lpstr>
      <vt:lpstr>Regression</vt:lpstr>
      <vt:lpstr>Descriptive_Stats</vt:lpstr>
      <vt:lpstr>Monthly_Growth</vt:lpstr>
      <vt:lpstr>Pivot_Summary</vt:lpstr>
      <vt:lpstr>Notes_Checks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Swayam Vekariya</cp:lastModifiedBy>
  <cp:revision>1</cp:revision>
  <dcterms:created xsi:type="dcterms:W3CDTF">2026-10-14T05:57:09Z</dcterms:created>
  <dcterms:modified xsi:type="dcterms:W3CDTF">2026-10-14T06:25:54Z</dcterms:modified>
  <dc:language>en-US</dc:language>
</cp:coreProperties>
</file>